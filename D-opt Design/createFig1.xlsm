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ryangeorgecory-wright/Dropbox (MIT)/MatrixPerspective/D-opt Design/"/>
    </mc:Choice>
  </mc:AlternateContent>
  <xr:revisionPtr revIDLastSave="0" documentId="13_ncr:1_{6205934A-5319-8A4E-A0C4-F51174A04095}" xr6:coauthVersionLast="46" xr6:coauthVersionMax="46" xr10:uidLastSave="{00000000-0000-0000-0000-000000000000}"/>
  <bookViews>
    <workbookView xWindow="-29180" yWindow="960" windowWidth="28040" windowHeight="17440" activeTab="1" xr2:uid="{00000000-000D-0000-FFFF-FFFF00000000}"/>
  </bookViews>
  <sheets>
    <sheet name="raw" sheetId="1" r:id="rId1"/>
    <sheet name="proc" sheetId="2" r:id="rId2"/>
  </sheets>
  <calcPr calcId="191029"/>
</workbook>
</file>

<file path=xl/calcChain.xml><?xml version="1.0" encoding="utf-8"?>
<calcChain xmlns="http://schemas.openxmlformats.org/spreadsheetml/2006/main">
  <c r="F2" i="2" l="1"/>
  <c r="G2" i="2"/>
  <c r="H2" i="2"/>
  <c r="I2" i="2"/>
  <c r="J2" i="2"/>
  <c r="K2" i="2"/>
  <c r="L2" i="2"/>
  <c r="M2" i="2"/>
  <c r="N2" i="2"/>
  <c r="F3" i="2"/>
  <c r="G3" i="2"/>
  <c r="H3" i="2"/>
  <c r="I3" i="2"/>
  <c r="J3" i="2"/>
  <c r="K3" i="2"/>
  <c r="L3" i="2"/>
  <c r="M3" i="2"/>
  <c r="N3" i="2"/>
  <c r="F4" i="2"/>
  <c r="G4" i="2"/>
  <c r="H4" i="2"/>
  <c r="I4" i="2"/>
  <c r="J4" i="2"/>
  <c r="K4" i="2"/>
  <c r="L4" i="2"/>
  <c r="M4" i="2"/>
  <c r="N4" i="2"/>
  <c r="F5" i="2"/>
  <c r="G5" i="2"/>
  <c r="H5" i="2"/>
  <c r="I5" i="2"/>
  <c r="J5" i="2"/>
  <c r="K5" i="2"/>
  <c r="L5" i="2"/>
  <c r="M5" i="2"/>
  <c r="N5" i="2"/>
  <c r="F6" i="2"/>
  <c r="G6" i="2"/>
  <c r="H6" i="2"/>
  <c r="I6" i="2"/>
  <c r="J6" i="2"/>
  <c r="K6" i="2"/>
  <c r="L6" i="2"/>
  <c r="M6" i="2"/>
  <c r="N6" i="2"/>
  <c r="F7" i="2"/>
  <c r="G7" i="2"/>
  <c r="H7" i="2"/>
  <c r="I7" i="2"/>
  <c r="J7" i="2"/>
  <c r="K7" i="2"/>
  <c r="L7" i="2"/>
  <c r="M7" i="2"/>
  <c r="N7" i="2"/>
  <c r="F8" i="2"/>
  <c r="G8" i="2"/>
  <c r="H8" i="2"/>
  <c r="I8" i="2"/>
  <c r="J8" i="2"/>
  <c r="K8" i="2"/>
  <c r="L8" i="2"/>
  <c r="M8" i="2"/>
  <c r="N8" i="2"/>
  <c r="F9" i="2"/>
  <c r="G9" i="2"/>
  <c r="H9" i="2"/>
  <c r="I9" i="2"/>
  <c r="J9" i="2"/>
  <c r="K9" i="2"/>
  <c r="L9" i="2"/>
  <c r="M9" i="2"/>
  <c r="N9" i="2"/>
  <c r="F10" i="2"/>
  <c r="G10" i="2"/>
  <c r="H10" i="2"/>
  <c r="I10" i="2"/>
  <c r="J10" i="2"/>
  <c r="K10" i="2"/>
  <c r="L10" i="2"/>
  <c r="M10" i="2"/>
  <c r="N10" i="2"/>
  <c r="E3" i="2"/>
  <c r="E4" i="2"/>
  <c r="E5" i="2"/>
  <c r="E6" i="2"/>
  <c r="E7" i="2"/>
  <c r="E8" i="2"/>
  <c r="E9" i="2"/>
  <c r="E10" i="2"/>
  <c r="E2" i="2"/>
  <c r="D3" i="2"/>
  <c r="D4" i="2"/>
  <c r="D5" i="2"/>
  <c r="D6" i="2"/>
  <c r="D7" i="2"/>
  <c r="D8" i="2"/>
  <c r="D9" i="2"/>
  <c r="D10" i="2"/>
  <c r="D2" i="2"/>
</calcChain>
</file>

<file path=xl/sharedStrings.xml><?xml version="1.0" encoding="utf-8"?>
<sst xmlns="http://schemas.openxmlformats.org/spreadsheetml/2006/main" count="28" uniqueCount="15">
  <si>
    <t>n</t>
  </si>
  <si>
    <t>m</t>
  </si>
  <si>
    <t>k</t>
  </si>
  <si>
    <t>seedID</t>
  </si>
  <si>
    <t>eps</t>
  </si>
  <si>
    <t>gap_basic</t>
  </si>
  <si>
    <t>gap_submod</t>
  </si>
  <si>
    <t>gap_persp</t>
  </si>
  <si>
    <t>ofv_basic</t>
  </si>
  <si>
    <t>ofv_submod</t>
  </si>
  <si>
    <t>ofv_persp</t>
  </si>
  <si>
    <t>t_basic</t>
  </si>
  <si>
    <t>t_submod</t>
  </si>
  <si>
    <t>t_persp</t>
  </si>
  <si>
    <t>seedcount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</si>
</sst>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10" fontId="0" fillId="0" borderId="0" xfId="0" applyNumberFormat="1"/>
    <xf numFmtId="2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proc!$C$2:$C$10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proc!$H$2:$H$10</c:f>
              <c:numCache>
                <c:formatCode>0.00%</c:formatCode>
                <c:ptCount val="9"/>
                <c:pt idx="0">
                  <c:v>0</c:v>
                </c:pt>
                <c:pt idx="1">
                  <c:v>1.373E-4</c:v>
                </c:pt>
                <c:pt idx="2">
                  <c:v>6.0549999999999992E-4</c:v>
                </c:pt>
                <c:pt idx="3">
                  <c:v>1.7579000000000002E-3</c:v>
                </c:pt>
                <c:pt idx="4">
                  <c:v>3.7398499999999994E-3</c:v>
                </c:pt>
                <c:pt idx="5">
                  <c:v>1.39659E-2</c:v>
                </c:pt>
                <c:pt idx="6">
                  <c:v>2.3876349999999998E-2</c:v>
                </c:pt>
                <c:pt idx="7">
                  <c:v>5.2515800000000001E-2</c:v>
                </c:pt>
                <c:pt idx="8">
                  <c:v>0.28429260000000001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E5-C440-8923-06E635EF389B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proc!$C$2:$C$10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proc!$G$2:$G$10</c:f>
              <c:numCache>
                <c:formatCode>0.00%</c:formatCode>
                <c:ptCount val="9"/>
                <c:pt idx="0">
                  <c:v>0.88815060000000001</c:v>
                </c:pt>
                <c:pt idx="1">
                  <c:v>0.93678234999999999</c:v>
                </c:pt>
                <c:pt idx="2">
                  <c:v>0.97045904999999988</c:v>
                </c:pt>
                <c:pt idx="3">
                  <c:v>1.0021983999999999</c:v>
                </c:pt>
                <c:pt idx="4">
                  <c:v>1.0388977500000001</c:v>
                </c:pt>
                <c:pt idx="5">
                  <c:v>1.0897577999999997</c:v>
                </c:pt>
                <c:pt idx="6">
                  <c:v>1.1768826499999998</c:v>
                </c:pt>
                <c:pt idx="7">
                  <c:v>1.38503965</c:v>
                </c:pt>
                <c:pt idx="8">
                  <c:v>2.8749924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80-C546-A68E-79E0098113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86082735"/>
        <c:axId val="1786135727"/>
      </c:scatterChart>
      <c:valAx>
        <c:axId val="1786082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135727"/>
        <c:crosses val="autoZero"/>
        <c:crossBetween val="midCat"/>
      </c:valAx>
      <c:valAx>
        <c:axId val="17861357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8608273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1</xdr:row>
      <xdr:rowOff>146050</xdr:rowOff>
    </xdr:from>
    <xdr:to>
      <xdr:col>19</xdr:col>
      <xdr:colOff>654050</xdr:colOff>
      <xdr:row>15</xdr:row>
      <xdr:rowOff>44450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FDA495-FFFD-0D42-8F7E-270DFD28A6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N182"/>
  <sheetViews>
    <sheetView topLeftCell="A162" workbookViewId="0">
      <selection activeCell="A181" sqref="A181:N182"/>
    </sheetView>
  </sheetViews>
  <sheetFormatPr baseColWidth="10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>
        <v>10</v>
      </c>
      <c r="B2">
        <v>20</v>
      </c>
      <c r="C2">
        <v>1</v>
      </c>
      <c r="D2">
        <v>1</v>
      </c>
      <c r="E2">
        <v>9.9999999999999995E-7</v>
      </c>
      <c r="F2">
        <v>0.88532100000000002</v>
      </c>
      <c r="G2">
        <v>0.88508500000000001</v>
      </c>
      <c r="H2">
        <v>0</v>
      </c>
      <c r="I2">
        <v>-122.854114</v>
      </c>
      <c r="J2">
        <v>-122.60137</v>
      </c>
      <c r="K2">
        <v>-122.60137</v>
      </c>
      <c r="L2">
        <v>0.423869</v>
      </c>
      <c r="M2">
        <v>2.6580000000000002E-3</v>
      </c>
      <c r="N2">
        <v>328.04745609999998</v>
      </c>
    </row>
    <row r="3" spans="1:14" x14ac:dyDescent="0.2">
      <c r="A3">
        <v>10</v>
      </c>
      <c r="B3">
        <v>20</v>
      </c>
      <c r="C3">
        <v>2</v>
      </c>
      <c r="D3">
        <v>1</v>
      </c>
      <c r="E3">
        <v>9.9999999999999995E-7</v>
      </c>
      <c r="F3">
        <v>0.93339300000000003</v>
      </c>
      <c r="G3">
        <v>0.93328999999999995</v>
      </c>
      <c r="H3">
        <v>5.5199999999999997E-4</v>
      </c>
      <c r="I3">
        <v>-107.455715</v>
      </c>
      <c r="J3">
        <v>-107.290584</v>
      </c>
      <c r="K3">
        <v>-107.290584</v>
      </c>
      <c r="L3">
        <v>0.60212500000000002</v>
      </c>
      <c r="M3">
        <v>1.5349999999999999E-3</v>
      </c>
      <c r="N3">
        <v>358.77671709999998</v>
      </c>
    </row>
    <row r="4" spans="1:14" x14ac:dyDescent="0.2">
      <c r="A4">
        <v>10</v>
      </c>
      <c r="B4">
        <v>20</v>
      </c>
      <c r="C4">
        <v>3</v>
      </c>
      <c r="D4">
        <v>1</v>
      </c>
      <c r="E4">
        <v>9.9999999999999995E-7</v>
      </c>
      <c r="F4">
        <v>0.96635700000000002</v>
      </c>
      <c r="G4">
        <v>0.96628000000000003</v>
      </c>
      <c r="H4">
        <v>5.1800000000000001E-4</v>
      </c>
      <c r="I4">
        <v>-92.224202000000005</v>
      </c>
      <c r="J4">
        <v>-92.011943000000002</v>
      </c>
      <c r="K4">
        <v>-92.011943000000002</v>
      </c>
      <c r="L4">
        <v>0.58715200000000001</v>
      </c>
      <c r="M4">
        <v>3.055E-3</v>
      </c>
      <c r="N4">
        <v>326.48188210000001</v>
      </c>
    </row>
    <row r="5" spans="1:14" x14ac:dyDescent="0.2">
      <c r="A5">
        <v>10</v>
      </c>
      <c r="B5">
        <v>20</v>
      </c>
      <c r="C5">
        <v>4</v>
      </c>
      <c r="D5">
        <v>1</v>
      </c>
      <c r="E5">
        <v>9.9999999999999995E-7</v>
      </c>
      <c r="F5">
        <v>0.99707400000000002</v>
      </c>
      <c r="G5">
        <v>0.99706600000000001</v>
      </c>
      <c r="H5">
        <v>2.114E-3</v>
      </c>
      <c r="I5">
        <v>-77.195466999999994</v>
      </c>
      <c r="J5">
        <v>-76.969553000000005</v>
      </c>
      <c r="K5">
        <v>-76.981859999999998</v>
      </c>
      <c r="L5">
        <v>0.69757499999999995</v>
      </c>
      <c r="M5">
        <v>4.4499999999999997E-4</v>
      </c>
      <c r="N5">
        <v>336.86946899999998</v>
      </c>
    </row>
    <row r="6" spans="1:14" x14ac:dyDescent="0.2">
      <c r="A6">
        <v>10</v>
      </c>
      <c r="B6">
        <v>20</v>
      </c>
      <c r="C6">
        <v>5</v>
      </c>
      <c r="D6">
        <v>1</v>
      </c>
      <c r="E6">
        <v>9.9999999999999995E-7</v>
      </c>
      <c r="F6">
        <v>1.0317480000000001</v>
      </c>
      <c r="G6">
        <v>1.0323720000000001</v>
      </c>
      <c r="H6">
        <v>2.176E-3</v>
      </c>
      <c r="I6">
        <v>-63.171878999999997</v>
      </c>
      <c r="J6">
        <v>-61.95382</v>
      </c>
      <c r="K6">
        <v>-61.95382</v>
      </c>
      <c r="L6">
        <v>0.62748400000000004</v>
      </c>
      <c r="M6">
        <v>8.1499999999999997E-4</v>
      </c>
      <c r="N6">
        <v>309.71291509999998</v>
      </c>
    </row>
    <row r="7" spans="1:14" x14ac:dyDescent="0.2">
      <c r="A7">
        <v>10</v>
      </c>
      <c r="B7">
        <v>20</v>
      </c>
      <c r="C7">
        <v>6</v>
      </c>
      <c r="D7">
        <v>1</v>
      </c>
      <c r="E7">
        <v>9.9999999999999995E-7</v>
      </c>
      <c r="F7">
        <v>1.0792360000000001</v>
      </c>
      <c r="G7">
        <v>1.0805039999999999</v>
      </c>
      <c r="H7">
        <v>1.4481000000000001E-2</v>
      </c>
      <c r="I7">
        <v>-48.321117000000001</v>
      </c>
      <c r="J7">
        <v>-47.560285</v>
      </c>
      <c r="K7">
        <v>-47.821451000000003</v>
      </c>
      <c r="L7">
        <v>0.640899</v>
      </c>
      <c r="M7">
        <v>5.4900000000000001E-3</v>
      </c>
      <c r="N7">
        <v>282.957291</v>
      </c>
    </row>
    <row r="8" spans="1:14" x14ac:dyDescent="0.2">
      <c r="A8">
        <v>10</v>
      </c>
      <c r="B8">
        <v>20</v>
      </c>
      <c r="C8">
        <v>7</v>
      </c>
      <c r="D8">
        <v>1</v>
      </c>
      <c r="E8">
        <v>9.9999999999999995E-7</v>
      </c>
      <c r="F8">
        <v>1.1545749999999999</v>
      </c>
      <c r="G8">
        <v>1.161116</v>
      </c>
      <c r="H8">
        <v>6.0514999999999999E-2</v>
      </c>
      <c r="I8">
        <v>-34.742294000000001</v>
      </c>
      <c r="J8">
        <v>-33.331747999999997</v>
      </c>
      <c r="K8">
        <v>-34.784432000000002</v>
      </c>
      <c r="L8">
        <v>0.67086400000000002</v>
      </c>
      <c r="M8">
        <v>7.5900000000000002E-4</v>
      </c>
      <c r="N8">
        <v>271.11553099999998</v>
      </c>
    </row>
    <row r="9" spans="1:14" x14ac:dyDescent="0.2">
      <c r="A9">
        <v>10</v>
      </c>
      <c r="B9">
        <v>20</v>
      </c>
      <c r="C9">
        <v>8</v>
      </c>
      <c r="D9">
        <v>1</v>
      </c>
      <c r="E9">
        <v>9.9999999999999995E-7</v>
      </c>
      <c r="F9">
        <v>1.326171</v>
      </c>
      <c r="G9">
        <v>1.3434330000000001</v>
      </c>
      <c r="H9">
        <v>7.4229000000000003E-2</v>
      </c>
      <c r="I9">
        <v>-20.558554000000001</v>
      </c>
      <c r="J9">
        <v>-19.525192000000001</v>
      </c>
      <c r="K9">
        <v>-20.018685000000001</v>
      </c>
      <c r="L9">
        <v>0.59934900000000002</v>
      </c>
      <c r="M9">
        <v>7.4700000000000005E-4</v>
      </c>
      <c r="N9">
        <v>232.019362</v>
      </c>
    </row>
    <row r="10" spans="1:14" x14ac:dyDescent="0.2">
      <c r="A10">
        <v>10</v>
      </c>
      <c r="B10">
        <v>20</v>
      </c>
      <c r="C10">
        <v>9</v>
      </c>
      <c r="D10">
        <v>1</v>
      </c>
      <c r="E10">
        <v>9.9999999999999995E-7</v>
      </c>
      <c r="F10">
        <v>1.945476</v>
      </c>
      <c r="G10">
        <v>2.3384830000000001</v>
      </c>
      <c r="H10">
        <v>0.303508</v>
      </c>
      <c r="I10">
        <v>-8.3380600000000005</v>
      </c>
      <c r="J10">
        <v>-5.8898289999999998</v>
      </c>
      <c r="K10">
        <v>-6.6645779999999997</v>
      </c>
      <c r="L10">
        <v>0.60936900000000005</v>
      </c>
      <c r="M10">
        <v>7.0299999999999996E-4</v>
      </c>
      <c r="N10">
        <v>207.85617199999999</v>
      </c>
    </row>
    <row r="11" spans="1:14" x14ac:dyDescent="0.2">
      <c r="A11">
        <v>10</v>
      </c>
      <c r="B11">
        <v>20</v>
      </c>
      <c r="C11">
        <v>10</v>
      </c>
      <c r="D11">
        <v>1</v>
      </c>
      <c r="E11">
        <v>9.9999999999999995E-7</v>
      </c>
      <c r="F11">
        <v>2.1696279999999999</v>
      </c>
      <c r="G11">
        <v>0.17543500000000001</v>
      </c>
      <c r="H11">
        <v>2.1696279999999999</v>
      </c>
      <c r="I11">
        <v>2.8195860000000001</v>
      </c>
      <c r="J11">
        <v>7.6031760000000004</v>
      </c>
      <c r="K11">
        <v>2.8195860000000001</v>
      </c>
      <c r="L11">
        <v>0.58006500000000005</v>
      </c>
      <c r="M11">
        <v>1.186E-3</v>
      </c>
      <c r="N11">
        <v>212.41368299999999</v>
      </c>
    </row>
    <row r="12" spans="1:14" x14ac:dyDescent="0.2">
      <c r="A12">
        <v>10</v>
      </c>
      <c r="B12">
        <v>20</v>
      </c>
      <c r="C12">
        <v>1</v>
      </c>
      <c r="D12">
        <v>2</v>
      </c>
      <c r="E12">
        <v>9.9999999999999995E-7</v>
      </c>
      <c r="F12">
        <v>0.88910299999999998</v>
      </c>
      <c r="G12">
        <v>0.88910299999999998</v>
      </c>
      <c r="H12">
        <v>0</v>
      </c>
      <c r="I12">
        <v>-122.264737</v>
      </c>
      <c r="J12">
        <v>-122.264737</v>
      </c>
      <c r="K12">
        <v>-122.264737</v>
      </c>
      <c r="L12">
        <v>0.64535399999999998</v>
      </c>
      <c r="M12">
        <v>2.601E-3</v>
      </c>
      <c r="N12">
        <v>343.22542399999998</v>
      </c>
    </row>
    <row r="13" spans="1:14" x14ac:dyDescent="0.2">
      <c r="A13">
        <v>10</v>
      </c>
      <c r="B13">
        <v>20</v>
      </c>
      <c r="C13">
        <v>2</v>
      </c>
      <c r="D13">
        <v>2</v>
      </c>
      <c r="E13">
        <v>9.9999999999999995E-7</v>
      </c>
      <c r="F13">
        <v>0.93847599999999998</v>
      </c>
      <c r="G13">
        <v>0.93795499999999998</v>
      </c>
      <c r="H13">
        <v>0</v>
      </c>
      <c r="I13">
        <v>-107.719849</v>
      </c>
      <c r="J13">
        <v>-106.814184</v>
      </c>
      <c r="K13">
        <v>-106.814184</v>
      </c>
      <c r="L13">
        <v>0.572299</v>
      </c>
      <c r="M13">
        <v>1.4239999999999999E-3</v>
      </c>
      <c r="N13">
        <v>300.18988100000001</v>
      </c>
    </row>
    <row r="14" spans="1:14" x14ac:dyDescent="0.2">
      <c r="A14">
        <v>10</v>
      </c>
      <c r="B14">
        <v>20</v>
      </c>
      <c r="C14">
        <v>3</v>
      </c>
      <c r="D14">
        <v>2</v>
      </c>
      <c r="E14">
        <v>9.9999999999999995E-7</v>
      </c>
      <c r="F14">
        <v>0.97237899999999999</v>
      </c>
      <c r="G14">
        <v>0.97186700000000004</v>
      </c>
      <c r="H14">
        <v>4.6999999999999997E-5</v>
      </c>
      <c r="I14">
        <v>-93.140187999999995</v>
      </c>
      <c r="J14">
        <v>-91.445734000000002</v>
      </c>
      <c r="K14">
        <v>-91.445734000000002</v>
      </c>
      <c r="L14">
        <v>0.58683099999999999</v>
      </c>
      <c r="M14">
        <v>2.7060000000000001E-3</v>
      </c>
      <c r="N14">
        <v>292.09113100000002</v>
      </c>
    </row>
    <row r="15" spans="1:14" x14ac:dyDescent="0.2">
      <c r="A15">
        <v>10</v>
      </c>
      <c r="B15">
        <v>20</v>
      </c>
      <c r="C15">
        <v>4</v>
      </c>
      <c r="D15">
        <v>2</v>
      </c>
      <c r="E15">
        <v>9.9999999999999995E-7</v>
      </c>
      <c r="F15">
        <v>1.0039100000000001</v>
      </c>
      <c r="G15">
        <v>1.0039929999999999</v>
      </c>
      <c r="H15">
        <v>3.9399999999999998E-4</v>
      </c>
      <c r="I15">
        <v>-77.790935000000005</v>
      </c>
      <c r="J15">
        <v>-76.175524999999993</v>
      </c>
      <c r="K15">
        <v>-76.175524999999993</v>
      </c>
      <c r="L15">
        <v>0.58773799999999998</v>
      </c>
      <c r="M15">
        <v>3.6600000000000001E-4</v>
      </c>
      <c r="N15">
        <v>287.139568</v>
      </c>
    </row>
    <row r="16" spans="1:14" x14ac:dyDescent="0.2">
      <c r="A16">
        <v>10</v>
      </c>
      <c r="B16">
        <v>20</v>
      </c>
      <c r="C16">
        <v>5</v>
      </c>
      <c r="D16">
        <v>2</v>
      </c>
      <c r="E16">
        <v>9.9999999999999995E-7</v>
      </c>
      <c r="F16">
        <v>1.0404070000000001</v>
      </c>
      <c r="G16">
        <v>1.0412729999999999</v>
      </c>
      <c r="H16">
        <v>4.0359999999999997E-3</v>
      </c>
      <c r="I16">
        <v>-62.751438</v>
      </c>
      <c r="J16">
        <v>-61.434123999999997</v>
      </c>
      <c r="K16">
        <v>-61.434123999999997</v>
      </c>
      <c r="L16">
        <v>0.57990699999999995</v>
      </c>
      <c r="M16">
        <v>8.12E-4</v>
      </c>
      <c r="N16">
        <v>338.56354299999998</v>
      </c>
    </row>
    <row r="17" spans="1:14" x14ac:dyDescent="0.2">
      <c r="A17">
        <v>10</v>
      </c>
      <c r="B17">
        <v>20</v>
      </c>
      <c r="C17">
        <v>6</v>
      </c>
      <c r="D17">
        <v>2</v>
      </c>
      <c r="E17">
        <v>9.9999999999999995E-7</v>
      </c>
      <c r="F17">
        <v>1.091429</v>
      </c>
      <c r="G17">
        <v>1.092713</v>
      </c>
      <c r="H17">
        <v>2.4840000000000001E-2</v>
      </c>
      <c r="I17">
        <v>-47.673986999999997</v>
      </c>
      <c r="J17">
        <v>-47.013620000000003</v>
      </c>
      <c r="K17">
        <v>-47.724837000000001</v>
      </c>
      <c r="L17">
        <v>0.57694599999999996</v>
      </c>
      <c r="M17">
        <v>5.1599999999999997E-4</v>
      </c>
      <c r="N17">
        <v>283.32300300000003</v>
      </c>
    </row>
    <row r="18" spans="1:14" x14ac:dyDescent="0.2">
      <c r="A18">
        <v>10</v>
      </c>
      <c r="B18">
        <v>20</v>
      </c>
      <c r="C18">
        <v>7</v>
      </c>
      <c r="D18">
        <v>2</v>
      </c>
      <c r="E18">
        <v>9.9999999999999995E-7</v>
      </c>
      <c r="F18">
        <v>1.179835</v>
      </c>
      <c r="G18">
        <v>1.1809289999999999</v>
      </c>
      <c r="H18">
        <v>4.1575000000000001E-2</v>
      </c>
      <c r="I18">
        <v>-32.809595000000002</v>
      </c>
      <c r="J18">
        <v>-32.611096000000003</v>
      </c>
      <c r="K18">
        <v>-33.489527000000002</v>
      </c>
      <c r="L18">
        <v>0.594217</v>
      </c>
      <c r="M18">
        <v>1.4660000000000001E-3</v>
      </c>
      <c r="N18">
        <v>219.932334</v>
      </c>
    </row>
    <row r="19" spans="1:14" x14ac:dyDescent="0.2">
      <c r="A19">
        <v>10</v>
      </c>
      <c r="B19">
        <v>20</v>
      </c>
      <c r="C19">
        <v>8</v>
      </c>
      <c r="D19">
        <v>2</v>
      </c>
      <c r="E19">
        <v>9.9999999999999995E-7</v>
      </c>
      <c r="F19">
        <v>1.3930880000000001</v>
      </c>
      <c r="G19">
        <v>1.3933329999999999</v>
      </c>
      <c r="H19">
        <v>3.0367000000000002E-2</v>
      </c>
      <c r="I19">
        <v>-18.407115999999998</v>
      </c>
      <c r="J19">
        <v>-18.395647</v>
      </c>
      <c r="K19">
        <v>-18.395647</v>
      </c>
      <c r="L19">
        <v>0.59607500000000002</v>
      </c>
      <c r="M19">
        <v>7.36E-4</v>
      </c>
      <c r="N19">
        <v>265.30350099999998</v>
      </c>
    </row>
    <row r="20" spans="1:14" x14ac:dyDescent="0.2">
      <c r="A20">
        <v>10</v>
      </c>
      <c r="B20">
        <v>20</v>
      </c>
      <c r="C20">
        <v>9</v>
      </c>
      <c r="D20">
        <v>2</v>
      </c>
      <c r="E20">
        <v>9.9999999999999995E-7</v>
      </c>
      <c r="F20">
        <v>2.9280550000000001</v>
      </c>
      <c r="G20">
        <v>2.9280550000000001</v>
      </c>
      <c r="H20">
        <v>9.7487000000000004E-2</v>
      </c>
      <c r="I20">
        <v>-4.3636939999999997</v>
      </c>
      <c r="J20">
        <v>-4.3636939999999997</v>
      </c>
      <c r="K20">
        <v>-4.3636939999999997</v>
      </c>
      <c r="L20">
        <v>0.59091700000000003</v>
      </c>
      <c r="M20">
        <v>6.9300000000000004E-4</v>
      </c>
      <c r="N20">
        <v>236.22541000000001</v>
      </c>
    </row>
    <row r="21" spans="1:14" x14ac:dyDescent="0.2">
      <c r="A21">
        <v>10</v>
      </c>
      <c r="B21">
        <v>20</v>
      </c>
      <c r="C21">
        <v>1</v>
      </c>
      <c r="D21">
        <v>3</v>
      </c>
      <c r="E21">
        <v>9.9999999999999995E-7</v>
      </c>
      <c r="F21">
        <v>0.88842100000000002</v>
      </c>
      <c r="G21">
        <v>0.88794200000000001</v>
      </c>
      <c r="H21">
        <v>0</v>
      </c>
      <c r="I21">
        <v>-122.893278</v>
      </c>
      <c r="J21">
        <v>-122.367086</v>
      </c>
      <c r="K21">
        <v>-122.367086</v>
      </c>
      <c r="L21">
        <v>0.21330099999999999</v>
      </c>
      <c r="M21">
        <v>1.16E-4</v>
      </c>
      <c r="N21">
        <v>311.63841300000001</v>
      </c>
    </row>
    <row r="22" spans="1:14" x14ac:dyDescent="0.2">
      <c r="A22">
        <v>10</v>
      </c>
      <c r="B22">
        <v>20</v>
      </c>
      <c r="C22">
        <v>2</v>
      </c>
      <c r="D22">
        <v>3</v>
      </c>
      <c r="E22">
        <v>9.9999999999999995E-7</v>
      </c>
      <c r="F22">
        <v>0.93671700000000002</v>
      </c>
      <c r="G22">
        <v>0.93661000000000005</v>
      </c>
      <c r="H22">
        <v>0</v>
      </c>
      <c r="I22">
        <v>-107.150772</v>
      </c>
      <c r="J22">
        <v>-106.969782</v>
      </c>
      <c r="K22">
        <v>-106.969782</v>
      </c>
      <c r="L22">
        <v>0.180951</v>
      </c>
      <c r="M22">
        <v>1.1900000000000001E-4</v>
      </c>
      <c r="N22">
        <v>313.82216699999998</v>
      </c>
    </row>
    <row r="23" spans="1:14" x14ac:dyDescent="0.2">
      <c r="A23">
        <v>10</v>
      </c>
      <c r="B23">
        <v>20</v>
      </c>
      <c r="C23">
        <v>3</v>
      </c>
      <c r="D23">
        <v>3</v>
      </c>
      <c r="E23">
        <v>9.9999999999999995E-7</v>
      </c>
      <c r="F23">
        <v>0.97044299999999994</v>
      </c>
      <c r="G23">
        <v>0.97028800000000004</v>
      </c>
      <c r="H23">
        <v>1.8000000000000001E-4</v>
      </c>
      <c r="I23">
        <v>-92.234499</v>
      </c>
      <c r="J23">
        <v>-91.754878000000005</v>
      </c>
      <c r="K23">
        <v>-91.757397999999995</v>
      </c>
      <c r="L23">
        <v>0.22783200000000001</v>
      </c>
      <c r="M23">
        <v>1.8799999999999999E-4</v>
      </c>
      <c r="N23">
        <v>302.65095400000001</v>
      </c>
    </row>
    <row r="24" spans="1:14" x14ac:dyDescent="0.2">
      <c r="A24">
        <v>10</v>
      </c>
      <c r="B24">
        <v>20</v>
      </c>
      <c r="C24">
        <v>4</v>
      </c>
      <c r="D24">
        <v>3</v>
      </c>
      <c r="E24">
        <v>9.9999999999999995E-7</v>
      </c>
      <c r="F24">
        <v>1.00196</v>
      </c>
      <c r="G24">
        <v>1.0019670000000001</v>
      </c>
      <c r="H24">
        <v>7.8999999999999996E-5</v>
      </c>
      <c r="I24">
        <v>-76.842388</v>
      </c>
      <c r="J24">
        <v>-76.565144000000004</v>
      </c>
      <c r="K24">
        <v>-76.565144000000004</v>
      </c>
      <c r="L24">
        <v>0.200126</v>
      </c>
      <c r="M24">
        <v>2.5599999999999999E-4</v>
      </c>
      <c r="N24">
        <v>302.59535799999998</v>
      </c>
    </row>
    <row r="25" spans="1:14" x14ac:dyDescent="0.2">
      <c r="A25">
        <v>10</v>
      </c>
      <c r="B25">
        <v>20</v>
      </c>
      <c r="C25">
        <v>5</v>
      </c>
      <c r="D25">
        <v>3</v>
      </c>
      <c r="E25">
        <v>9.9999999999999995E-7</v>
      </c>
      <c r="F25">
        <v>1.038376</v>
      </c>
      <c r="G25">
        <v>1.038727</v>
      </c>
      <c r="H25">
        <v>9.2E-5</v>
      </c>
      <c r="I25">
        <v>-62.072045000000003</v>
      </c>
      <c r="J25">
        <v>-61.509034999999997</v>
      </c>
      <c r="K25">
        <v>-61.509034999999997</v>
      </c>
      <c r="L25">
        <v>0.21435999999999999</v>
      </c>
      <c r="M25">
        <v>3.0499999999999999E-4</v>
      </c>
      <c r="N25">
        <v>376.90940699999999</v>
      </c>
    </row>
    <row r="26" spans="1:14" x14ac:dyDescent="0.2">
      <c r="A26">
        <v>10</v>
      </c>
      <c r="B26">
        <v>20</v>
      </c>
      <c r="C26">
        <v>6</v>
      </c>
      <c r="D26">
        <v>3</v>
      </c>
      <c r="E26">
        <v>9.9999999999999995E-7</v>
      </c>
      <c r="F26">
        <v>1.089154</v>
      </c>
      <c r="G26">
        <v>1.0901559999999999</v>
      </c>
      <c r="H26">
        <v>1.0330000000000001E-3</v>
      </c>
      <c r="I26">
        <v>-47.168517000000001</v>
      </c>
      <c r="J26">
        <v>-46.644184000000003</v>
      </c>
      <c r="K26">
        <v>-46.644184000000003</v>
      </c>
      <c r="L26">
        <v>0.61179300000000003</v>
      </c>
      <c r="M26">
        <v>5.3399999999999997E-4</v>
      </c>
      <c r="N26">
        <v>314.93036899999998</v>
      </c>
    </row>
    <row r="27" spans="1:14" x14ac:dyDescent="0.2">
      <c r="A27">
        <v>10</v>
      </c>
      <c r="B27">
        <v>20</v>
      </c>
      <c r="C27">
        <v>7</v>
      </c>
      <c r="D27">
        <v>3</v>
      </c>
      <c r="E27">
        <v>9.9999999999999995E-7</v>
      </c>
      <c r="F27">
        <v>1.1756489999999999</v>
      </c>
      <c r="G27">
        <v>1.1788380000000001</v>
      </c>
      <c r="H27">
        <v>1.4899000000000001E-2</v>
      </c>
      <c r="I27">
        <v>-32.717463000000002</v>
      </c>
      <c r="J27">
        <v>-32.133978999999997</v>
      </c>
      <c r="K27">
        <v>-32.351533000000003</v>
      </c>
      <c r="L27">
        <v>0.57981499999999997</v>
      </c>
      <c r="M27">
        <v>5.0799999999999999E-4</v>
      </c>
      <c r="N27">
        <v>234.09176400000001</v>
      </c>
    </row>
    <row r="28" spans="1:14" x14ac:dyDescent="0.2">
      <c r="A28">
        <v>10</v>
      </c>
      <c r="B28">
        <v>20</v>
      </c>
      <c r="C28">
        <v>8</v>
      </c>
      <c r="D28">
        <v>3</v>
      </c>
      <c r="E28">
        <v>9.9999999999999995E-7</v>
      </c>
      <c r="F28">
        <v>1.3868860000000001</v>
      </c>
      <c r="G28">
        <v>1.3982239999999999</v>
      </c>
      <c r="H28">
        <v>2.3675000000000002E-2</v>
      </c>
      <c r="I28">
        <v>-18.305368999999999</v>
      </c>
      <c r="J28">
        <v>-17.784172999999999</v>
      </c>
      <c r="K28">
        <v>-17.784172999999999</v>
      </c>
      <c r="L28">
        <v>0.59891300000000003</v>
      </c>
      <c r="M28">
        <v>5.4799999999999998E-4</v>
      </c>
      <c r="N28">
        <v>240.46229600000001</v>
      </c>
    </row>
    <row r="29" spans="1:14" x14ac:dyDescent="0.2">
      <c r="A29">
        <v>10</v>
      </c>
      <c r="B29">
        <v>20</v>
      </c>
      <c r="C29">
        <v>9</v>
      </c>
      <c r="D29">
        <v>3</v>
      </c>
      <c r="E29">
        <v>9.9999999999999995E-7</v>
      </c>
      <c r="F29">
        <v>3.099154</v>
      </c>
      <c r="G29">
        <v>3.1286450000000001</v>
      </c>
      <c r="H29">
        <v>0.394567</v>
      </c>
      <c r="I29">
        <v>-3.934879</v>
      </c>
      <c r="J29">
        <v>-3.8803640000000001</v>
      </c>
      <c r="K29">
        <v>-5.4899060000000004</v>
      </c>
      <c r="L29">
        <v>0.26778800000000003</v>
      </c>
      <c r="M29">
        <v>6.8400000000000004E-4</v>
      </c>
      <c r="N29">
        <v>233.33439799999999</v>
      </c>
    </row>
    <row r="30" spans="1:14" x14ac:dyDescent="0.2">
      <c r="A30">
        <v>10</v>
      </c>
      <c r="B30">
        <v>20</v>
      </c>
      <c r="C30">
        <v>1</v>
      </c>
      <c r="D30">
        <v>4</v>
      </c>
      <c r="E30">
        <v>9.9999999999999995E-7</v>
      </c>
      <c r="F30">
        <v>0.88991699999999996</v>
      </c>
      <c r="G30">
        <v>0.88957299999999995</v>
      </c>
      <c r="H30">
        <v>0</v>
      </c>
      <c r="I30">
        <v>-122.993122</v>
      </c>
      <c r="J30">
        <v>-122.609813</v>
      </c>
      <c r="K30">
        <v>-122.609813</v>
      </c>
      <c r="L30">
        <v>0.333065</v>
      </c>
      <c r="M30">
        <v>9.2E-5</v>
      </c>
      <c r="N30">
        <v>372.47457000000003</v>
      </c>
    </row>
    <row r="31" spans="1:14" x14ac:dyDescent="0.2">
      <c r="A31">
        <v>10</v>
      </c>
      <c r="B31">
        <v>20</v>
      </c>
      <c r="C31">
        <v>2</v>
      </c>
      <c r="D31">
        <v>4</v>
      </c>
      <c r="E31">
        <v>9.9999999999999995E-7</v>
      </c>
      <c r="F31">
        <v>0.93869800000000003</v>
      </c>
      <c r="G31">
        <v>0.93834399999999996</v>
      </c>
      <c r="H31">
        <v>2.3599999999999999E-4</v>
      </c>
      <c r="I31">
        <v>-107.794929</v>
      </c>
      <c r="J31">
        <v>-107.17572</v>
      </c>
      <c r="K31">
        <v>-107.17572</v>
      </c>
      <c r="L31">
        <v>0.61216599999999999</v>
      </c>
      <c r="M31">
        <v>2.34E-4</v>
      </c>
      <c r="N31">
        <v>345.11273799999998</v>
      </c>
    </row>
    <row r="32" spans="1:14" x14ac:dyDescent="0.2">
      <c r="A32">
        <v>10</v>
      </c>
      <c r="B32">
        <v>20</v>
      </c>
      <c r="C32">
        <v>3</v>
      </c>
      <c r="D32">
        <v>4</v>
      </c>
      <c r="E32">
        <v>9.9999999999999995E-7</v>
      </c>
      <c r="F32">
        <v>0.97245099999999995</v>
      </c>
      <c r="G32">
        <v>0.97219199999999995</v>
      </c>
      <c r="H32">
        <v>7.4999999999999993E-5</v>
      </c>
      <c r="I32">
        <v>-92.685845999999998</v>
      </c>
      <c r="J32">
        <v>-91.820886000000002</v>
      </c>
      <c r="K32">
        <v>-91.820886000000002</v>
      </c>
      <c r="L32">
        <v>0.64702499999999996</v>
      </c>
      <c r="M32">
        <v>2.6400000000000002E-4</v>
      </c>
      <c r="N32">
        <v>330.64994000000002</v>
      </c>
    </row>
    <row r="33" spans="1:14" x14ac:dyDescent="0.2">
      <c r="A33">
        <v>10</v>
      </c>
      <c r="B33">
        <v>20</v>
      </c>
      <c r="C33">
        <v>4</v>
      </c>
      <c r="D33">
        <v>4</v>
      </c>
      <c r="E33">
        <v>9.9999999999999995E-7</v>
      </c>
      <c r="F33">
        <v>1.004184</v>
      </c>
      <c r="G33">
        <v>1.0042199999999999</v>
      </c>
      <c r="H33">
        <v>5.1800000000000001E-4</v>
      </c>
      <c r="I33">
        <v>-77.306668999999999</v>
      </c>
      <c r="J33">
        <v>-76.641129000000006</v>
      </c>
      <c r="K33">
        <v>-76.641129000000006</v>
      </c>
      <c r="L33">
        <v>0.25814399999999998</v>
      </c>
      <c r="M33">
        <v>3.2200000000000002E-4</v>
      </c>
      <c r="N33">
        <v>356.44199400000002</v>
      </c>
    </row>
    <row r="34" spans="1:14" x14ac:dyDescent="0.2">
      <c r="A34">
        <v>10</v>
      </c>
      <c r="B34">
        <v>20</v>
      </c>
      <c r="C34">
        <v>5</v>
      </c>
      <c r="D34">
        <v>4</v>
      </c>
      <c r="E34">
        <v>9.9999999999999995E-7</v>
      </c>
      <c r="F34">
        <v>1.040521</v>
      </c>
      <c r="G34">
        <v>1.0414289999999999</v>
      </c>
      <c r="H34">
        <v>3.029E-3</v>
      </c>
      <c r="I34">
        <v>-63.050755000000002</v>
      </c>
      <c r="J34">
        <v>-61.669457999999999</v>
      </c>
      <c r="K34">
        <v>-61.669607999999997</v>
      </c>
      <c r="L34">
        <v>0.31639899999999999</v>
      </c>
      <c r="M34">
        <v>3.5799999999999997E-4</v>
      </c>
      <c r="N34">
        <v>372.86722099999997</v>
      </c>
    </row>
    <row r="35" spans="1:14" x14ac:dyDescent="0.2">
      <c r="A35">
        <v>10</v>
      </c>
      <c r="B35">
        <v>20</v>
      </c>
      <c r="C35">
        <v>6</v>
      </c>
      <c r="D35">
        <v>4</v>
      </c>
      <c r="E35">
        <v>9.9999999999999995E-7</v>
      </c>
      <c r="F35">
        <v>1.0912109999999999</v>
      </c>
      <c r="G35">
        <v>1.0937239999999999</v>
      </c>
      <c r="H35">
        <v>4.7790000000000003E-3</v>
      </c>
      <c r="I35">
        <v>-47.999825000000001</v>
      </c>
      <c r="J35">
        <v>-46.712448999999999</v>
      </c>
      <c r="K35">
        <v>-46.712448999999999</v>
      </c>
      <c r="L35">
        <v>0.28201199999999998</v>
      </c>
      <c r="M35">
        <v>4.6500000000000003E-4</v>
      </c>
      <c r="N35">
        <v>315.59071999999998</v>
      </c>
    </row>
    <row r="36" spans="1:14" x14ac:dyDescent="0.2">
      <c r="A36">
        <v>10</v>
      </c>
      <c r="B36">
        <v>20</v>
      </c>
      <c r="C36">
        <v>7</v>
      </c>
      <c r="D36">
        <v>4</v>
      </c>
      <c r="E36">
        <v>9.9999999999999995E-7</v>
      </c>
      <c r="F36">
        <v>1.1773100000000001</v>
      </c>
      <c r="G36">
        <v>1.184777</v>
      </c>
      <c r="H36">
        <v>1.6135E-2</v>
      </c>
      <c r="I36">
        <v>-33.385683</v>
      </c>
      <c r="J36">
        <v>-32.036506000000003</v>
      </c>
      <c r="K36">
        <v>-32.219728000000003</v>
      </c>
      <c r="L36">
        <v>0.63307400000000003</v>
      </c>
      <c r="M36">
        <v>4.9299999999999995E-4</v>
      </c>
      <c r="N36">
        <v>295.84750200000002</v>
      </c>
    </row>
    <row r="37" spans="1:14" x14ac:dyDescent="0.2">
      <c r="A37">
        <v>10</v>
      </c>
      <c r="B37">
        <v>20</v>
      </c>
      <c r="C37">
        <v>8</v>
      </c>
      <c r="D37">
        <v>4</v>
      </c>
      <c r="E37">
        <v>9.9999999999999995E-7</v>
      </c>
      <c r="F37">
        <v>1.397167</v>
      </c>
      <c r="G37">
        <v>1.4082870000000001</v>
      </c>
      <c r="H37">
        <v>5.8146999999999997E-2</v>
      </c>
      <c r="I37">
        <v>-18.266649999999998</v>
      </c>
      <c r="J37">
        <v>-17.769155999999999</v>
      </c>
      <c r="K37">
        <v>-18.257034000000001</v>
      </c>
      <c r="L37">
        <v>0.66366800000000004</v>
      </c>
      <c r="M37">
        <v>4.73E-4</v>
      </c>
      <c r="N37">
        <v>234.991422</v>
      </c>
    </row>
    <row r="38" spans="1:14" x14ac:dyDescent="0.2">
      <c r="A38">
        <v>10</v>
      </c>
      <c r="B38">
        <v>20</v>
      </c>
      <c r="C38">
        <v>9</v>
      </c>
      <c r="D38">
        <v>4</v>
      </c>
      <c r="E38">
        <v>9.9999999999999995E-7</v>
      </c>
      <c r="F38">
        <v>2.5686179999999998</v>
      </c>
      <c r="G38">
        <v>2.7259579999999999</v>
      </c>
      <c r="H38">
        <v>0.37002299999999999</v>
      </c>
      <c r="I38">
        <v>-5.3759079999999999</v>
      </c>
      <c r="J38">
        <v>-4.8858350000000002</v>
      </c>
      <c r="K38">
        <v>-5.4466020000000004</v>
      </c>
      <c r="L38">
        <v>0.64958899999999997</v>
      </c>
      <c r="M38">
        <v>7.1199999999999996E-4</v>
      </c>
      <c r="N38">
        <v>280.681963</v>
      </c>
    </row>
    <row r="39" spans="1:14" x14ac:dyDescent="0.2">
      <c r="A39">
        <v>10</v>
      </c>
      <c r="B39">
        <v>20</v>
      </c>
      <c r="C39">
        <v>1</v>
      </c>
      <c r="D39">
        <v>5</v>
      </c>
      <c r="E39">
        <v>9.9999999999999995E-7</v>
      </c>
      <c r="F39">
        <v>0.89202000000000004</v>
      </c>
      <c r="G39">
        <v>0.89194700000000005</v>
      </c>
      <c r="H39">
        <v>0</v>
      </c>
      <c r="I39">
        <v>-122.72599700000001</v>
      </c>
      <c r="J39">
        <v>-122.643276</v>
      </c>
      <c r="K39">
        <v>-122.643276</v>
      </c>
      <c r="L39">
        <v>0.32557000000000003</v>
      </c>
      <c r="M39">
        <v>1.2300000000000001E-4</v>
      </c>
      <c r="N39">
        <v>373.767313</v>
      </c>
    </row>
    <row r="40" spans="1:14" x14ac:dyDescent="0.2">
      <c r="A40">
        <v>10</v>
      </c>
      <c r="B40">
        <v>20</v>
      </c>
      <c r="C40">
        <v>2</v>
      </c>
      <c r="D40">
        <v>5</v>
      </c>
      <c r="E40">
        <v>9.9999999999999995E-7</v>
      </c>
      <c r="F40">
        <v>0.94109200000000004</v>
      </c>
      <c r="G40">
        <v>0.94101800000000002</v>
      </c>
      <c r="H40">
        <v>1.5E-5</v>
      </c>
      <c r="I40">
        <v>-107.29499800000001</v>
      </c>
      <c r="J40">
        <v>-107.159482</v>
      </c>
      <c r="K40">
        <v>-107.159482</v>
      </c>
      <c r="L40">
        <v>0.27846399999999999</v>
      </c>
      <c r="M40">
        <v>1.83E-4</v>
      </c>
      <c r="N40">
        <v>307.83020699999997</v>
      </c>
    </row>
    <row r="41" spans="1:14" x14ac:dyDescent="0.2">
      <c r="A41">
        <v>10</v>
      </c>
      <c r="B41">
        <v>20</v>
      </c>
      <c r="C41">
        <v>3</v>
      </c>
      <c r="D41">
        <v>5</v>
      </c>
      <c r="E41">
        <v>9.9999999999999995E-7</v>
      </c>
      <c r="F41">
        <v>0.97546600000000006</v>
      </c>
      <c r="G41">
        <v>0.97532700000000006</v>
      </c>
      <c r="H41">
        <v>2.2230000000000001E-3</v>
      </c>
      <c r="I41">
        <v>-92.357354999999998</v>
      </c>
      <c r="J41">
        <v>-91.838145999999995</v>
      </c>
      <c r="K41">
        <v>-91.978907000000007</v>
      </c>
      <c r="L41">
        <v>0.59169300000000002</v>
      </c>
      <c r="M41">
        <v>2.31E-4</v>
      </c>
      <c r="N41">
        <v>341.31007099999999</v>
      </c>
    </row>
    <row r="42" spans="1:14" x14ac:dyDescent="0.2">
      <c r="A42">
        <v>10</v>
      </c>
      <c r="B42">
        <v>20</v>
      </c>
      <c r="C42">
        <v>4</v>
      </c>
      <c r="D42">
        <v>5</v>
      </c>
      <c r="E42">
        <v>9.9999999999999995E-7</v>
      </c>
      <c r="F42">
        <v>1.0079260000000001</v>
      </c>
      <c r="G42">
        <v>1.007973</v>
      </c>
      <c r="H42">
        <v>5.1739999999999998E-3</v>
      </c>
      <c r="I42">
        <v>-77.078101000000004</v>
      </c>
      <c r="J42">
        <v>-76.624065999999999</v>
      </c>
      <c r="K42">
        <v>-76.889730999999998</v>
      </c>
      <c r="L42">
        <v>0.65851400000000004</v>
      </c>
      <c r="M42">
        <v>2.8200000000000002E-4</v>
      </c>
      <c r="N42">
        <v>340.61549500000001</v>
      </c>
    </row>
    <row r="43" spans="1:14" x14ac:dyDescent="0.2">
      <c r="A43">
        <v>10</v>
      </c>
      <c r="B43">
        <v>20</v>
      </c>
      <c r="C43">
        <v>5</v>
      </c>
      <c r="D43">
        <v>5</v>
      </c>
      <c r="E43">
        <v>9.9999999999999995E-7</v>
      </c>
      <c r="F43">
        <v>1.0458449999999999</v>
      </c>
      <c r="G43">
        <v>1.046076</v>
      </c>
      <c r="H43">
        <v>6.3480000000000003E-3</v>
      </c>
      <c r="I43">
        <v>-61.999536999999997</v>
      </c>
      <c r="J43">
        <v>-61.689014999999998</v>
      </c>
      <c r="K43">
        <v>-61.702973999999998</v>
      </c>
      <c r="L43">
        <v>0.73128300000000002</v>
      </c>
      <c r="M43">
        <v>3.5199999999999999E-4</v>
      </c>
      <c r="N43">
        <v>321.07346200000001</v>
      </c>
    </row>
    <row r="44" spans="1:14" x14ac:dyDescent="0.2">
      <c r="A44">
        <v>10</v>
      </c>
      <c r="B44">
        <v>20</v>
      </c>
      <c r="C44">
        <v>6</v>
      </c>
      <c r="D44">
        <v>5</v>
      </c>
      <c r="E44">
        <v>9.9999999999999995E-7</v>
      </c>
      <c r="F44">
        <v>1.0997110000000001</v>
      </c>
      <c r="G44">
        <v>1.0997110000000001</v>
      </c>
      <c r="H44">
        <v>1.2083999999999999E-2</v>
      </c>
      <c r="I44">
        <v>-46.791061999999997</v>
      </c>
      <c r="J44">
        <v>-46.791061999999997</v>
      </c>
      <c r="K44">
        <v>-46.852446999999998</v>
      </c>
      <c r="L44">
        <v>0.61533400000000005</v>
      </c>
      <c r="M44">
        <v>6.02E-4</v>
      </c>
      <c r="N44">
        <v>285.41906499999999</v>
      </c>
    </row>
    <row r="45" spans="1:14" x14ac:dyDescent="0.2">
      <c r="A45">
        <v>10</v>
      </c>
      <c r="B45">
        <v>20</v>
      </c>
      <c r="C45">
        <v>7</v>
      </c>
      <c r="D45">
        <v>5</v>
      </c>
      <c r="E45">
        <v>9.9999999999999995E-7</v>
      </c>
      <c r="F45">
        <v>1.187154</v>
      </c>
      <c r="G45">
        <v>1.193408</v>
      </c>
      <c r="H45">
        <v>1.7843999999999999E-2</v>
      </c>
      <c r="I45">
        <v>-33.165579999999999</v>
      </c>
      <c r="J45">
        <v>-32.093220000000002</v>
      </c>
      <c r="K45">
        <v>-32.093220000000002</v>
      </c>
      <c r="L45">
        <v>0.60627699999999995</v>
      </c>
      <c r="M45">
        <v>4.2299999999999998E-4</v>
      </c>
      <c r="N45">
        <v>213.18002100000001</v>
      </c>
    </row>
    <row r="46" spans="1:14" x14ac:dyDescent="0.2">
      <c r="A46">
        <v>10</v>
      </c>
      <c r="B46">
        <v>20</v>
      </c>
      <c r="C46">
        <v>8</v>
      </c>
      <c r="D46">
        <v>5</v>
      </c>
      <c r="E46">
        <v>9.9999999999999995E-7</v>
      </c>
      <c r="F46">
        <v>1.3971560000000001</v>
      </c>
      <c r="G46">
        <v>1.42302</v>
      </c>
      <c r="H46">
        <v>7.6124999999999998E-2</v>
      </c>
      <c r="I46">
        <v>-18.990988000000002</v>
      </c>
      <c r="J46">
        <v>-17.829865999999999</v>
      </c>
      <c r="K46">
        <v>-18.449432000000002</v>
      </c>
      <c r="L46">
        <v>0.58447400000000005</v>
      </c>
      <c r="M46">
        <v>4.3100000000000001E-4</v>
      </c>
      <c r="N46">
        <v>221.108631</v>
      </c>
    </row>
    <row r="47" spans="1:14" x14ac:dyDescent="0.2">
      <c r="A47">
        <v>10</v>
      </c>
      <c r="B47">
        <v>20</v>
      </c>
      <c r="C47">
        <v>9</v>
      </c>
      <c r="D47">
        <v>5</v>
      </c>
      <c r="E47">
        <v>9.9999999999999995E-7</v>
      </c>
      <c r="F47">
        <v>3.0022449999999998</v>
      </c>
      <c r="G47">
        <v>3.1587070000000002</v>
      </c>
      <c r="H47">
        <v>0.248672</v>
      </c>
      <c r="I47">
        <v>-4.3552229999999996</v>
      </c>
      <c r="J47">
        <v>-4.0395580000000004</v>
      </c>
      <c r="K47">
        <v>-4.0955300000000001</v>
      </c>
      <c r="L47">
        <v>0.59609900000000005</v>
      </c>
      <c r="M47">
        <v>4.95E-4</v>
      </c>
      <c r="N47">
        <v>210.29507699999999</v>
      </c>
    </row>
    <row r="48" spans="1:14" x14ac:dyDescent="0.2">
      <c r="A48">
        <v>10</v>
      </c>
      <c r="B48">
        <v>20</v>
      </c>
      <c r="C48">
        <v>1</v>
      </c>
      <c r="D48">
        <v>6</v>
      </c>
      <c r="E48">
        <v>9.9999999999999995E-7</v>
      </c>
      <c r="F48">
        <v>0.88645300000000005</v>
      </c>
      <c r="G48">
        <v>0.88645300000000005</v>
      </c>
      <c r="H48">
        <v>0</v>
      </c>
      <c r="I48">
        <v>-122.70714099999999</v>
      </c>
      <c r="J48">
        <v>-122.70714099999999</v>
      </c>
      <c r="K48">
        <v>-122.70714099999999</v>
      </c>
      <c r="L48">
        <v>0.60368100000000002</v>
      </c>
      <c r="M48">
        <v>8.2000000000000001E-5</v>
      </c>
      <c r="N48">
        <v>319.82534500000003</v>
      </c>
    </row>
    <row r="49" spans="1:14" x14ac:dyDescent="0.2">
      <c r="A49">
        <v>10</v>
      </c>
      <c r="B49">
        <v>20</v>
      </c>
      <c r="C49">
        <v>2</v>
      </c>
      <c r="D49">
        <v>6</v>
      </c>
      <c r="E49">
        <v>9.9999999999999995E-7</v>
      </c>
      <c r="F49">
        <v>0.93506299999999998</v>
      </c>
      <c r="G49">
        <v>0.93483799999999995</v>
      </c>
      <c r="H49">
        <v>2.6999999999999999E-5</v>
      </c>
      <c r="I49">
        <v>-107.82162599999999</v>
      </c>
      <c r="J49">
        <v>-107.450123</v>
      </c>
      <c r="K49">
        <v>-107.450123</v>
      </c>
      <c r="L49">
        <v>0.57744600000000001</v>
      </c>
      <c r="M49">
        <v>1.7100000000000001E-4</v>
      </c>
      <c r="N49">
        <v>311.26287200000002</v>
      </c>
    </row>
    <row r="50" spans="1:14" x14ac:dyDescent="0.2">
      <c r="A50">
        <v>10</v>
      </c>
      <c r="B50">
        <v>20</v>
      </c>
      <c r="C50">
        <v>3</v>
      </c>
      <c r="D50">
        <v>6</v>
      </c>
      <c r="E50">
        <v>9.9999999999999995E-7</v>
      </c>
      <c r="F50">
        <v>0.96821800000000002</v>
      </c>
      <c r="G50">
        <v>0.96808099999999997</v>
      </c>
      <c r="H50">
        <v>4.1399999999999998E-4</v>
      </c>
      <c r="I50">
        <v>-92.724027000000007</v>
      </c>
      <c r="J50">
        <v>-92.326950999999994</v>
      </c>
      <c r="K50">
        <v>-92.326950999999994</v>
      </c>
      <c r="L50">
        <v>0.60907</v>
      </c>
      <c r="M50">
        <v>2.3599999999999999E-4</v>
      </c>
      <c r="N50">
        <v>280.70508699999999</v>
      </c>
    </row>
    <row r="51" spans="1:14" x14ac:dyDescent="0.2">
      <c r="A51">
        <v>10</v>
      </c>
      <c r="B51">
        <v>20</v>
      </c>
      <c r="C51">
        <v>4</v>
      </c>
      <c r="D51">
        <v>6</v>
      </c>
      <c r="E51">
        <v>9.9999999999999995E-7</v>
      </c>
      <c r="F51">
        <v>0.99910299999999996</v>
      </c>
      <c r="G51">
        <v>0.99909199999999998</v>
      </c>
      <c r="H51">
        <v>8.2700000000000004E-4</v>
      </c>
      <c r="I51">
        <v>-78.194460000000007</v>
      </c>
      <c r="J51">
        <v>-77.266948999999997</v>
      </c>
      <c r="K51">
        <v>-77.266948999999997</v>
      </c>
      <c r="L51">
        <v>0.62138000000000004</v>
      </c>
      <c r="M51">
        <v>3.0600000000000001E-4</v>
      </c>
      <c r="N51">
        <v>327.03339299999999</v>
      </c>
    </row>
    <row r="52" spans="1:14" x14ac:dyDescent="0.2">
      <c r="A52">
        <v>10</v>
      </c>
      <c r="B52">
        <v>20</v>
      </c>
      <c r="C52">
        <v>5</v>
      </c>
      <c r="D52">
        <v>6</v>
      </c>
      <c r="E52">
        <v>9.9999999999999995E-7</v>
      </c>
      <c r="F52">
        <v>1.034022</v>
      </c>
      <c r="G52">
        <v>1.0346839999999999</v>
      </c>
      <c r="H52">
        <v>1.175E-3</v>
      </c>
      <c r="I52">
        <v>-63.526355000000002</v>
      </c>
      <c r="J52">
        <v>-62.312939999999998</v>
      </c>
      <c r="K52">
        <v>-62.312939999999998</v>
      </c>
      <c r="L52">
        <v>0.58533900000000005</v>
      </c>
      <c r="M52">
        <v>3.5599999999999998E-4</v>
      </c>
      <c r="N52">
        <v>394.00392099999999</v>
      </c>
    </row>
    <row r="53" spans="1:14" x14ac:dyDescent="0.2">
      <c r="A53">
        <v>10</v>
      </c>
      <c r="B53">
        <v>20</v>
      </c>
      <c r="C53">
        <v>6</v>
      </c>
      <c r="D53">
        <v>6</v>
      </c>
      <c r="E53">
        <v>9.9999999999999995E-7</v>
      </c>
      <c r="F53">
        <v>1.0817779999999999</v>
      </c>
      <c r="G53">
        <v>1.083405</v>
      </c>
      <c r="H53">
        <v>1.0888E-2</v>
      </c>
      <c r="I53">
        <v>-48.723111000000003</v>
      </c>
      <c r="J53">
        <v>-47.772893000000003</v>
      </c>
      <c r="K53">
        <v>-47.946463999999999</v>
      </c>
      <c r="L53">
        <v>0.60485599999999995</v>
      </c>
      <c r="M53">
        <v>5.3200000000000003E-4</v>
      </c>
      <c r="N53">
        <v>260.88439399999999</v>
      </c>
    </row>
    <row r="54" spans="1:14" x14ac:dyDescent="0.2">
      <c r="A54">
        <v>10</v>
      </c>
      <c r="B54">
        <v>20</v>
      </c>
      <c r="C54">
        <v>7</v>
      </c>
      <c r="D54">
        <v>6</v>
      </c>
      <c r="E54">
        <v>9.9999999999999995E-7</v>
      </c>
      <c r="F54">
        <v>1.161359</v>
      </c>
      <c r="G54">
        <v>1.165611</v>
      </c>
      <c r="H54">
        <v>2.8035000000000001E-2</v>
      </c>
      <c r="I54">
        <v>-34.246518000000002</v>
      </c>
      <c r="J54">
        <v>-33.367328000000001</v>
      </c>
      <c r="K54">
        <v>-33.764296000000002</v>
      </c>
      <c r="L54">
        <v>0.71528899999999995</v>
      </c>
      <c r="M54">
        <v>4.5199999999999998E-4</v>
      </c>
      <c r="N54">
        <v>258.241488</v>
      </c>
    </row>
    <row r="55" spans="1:14" x14ac:dyDescent="0.2">
      <c r="A55">
        <v>10</v>
      </c>
      <c r="B55">
        <v>20</v>
      </c>
      <c r="C55">
        <v>8</v>
      </c>
      <c r="D55">
        <v>6</v>
      </c>
      <c r="E55">
        <v>9.9999999999999995E-7</v>
      </c>
      <c r="F55">
        <v>1.316511</v>
      </c>
      <c r="G55">
        <v>1.3508199999999999</v>
      </c>
      <c r="H55">
        <v>6.8831000000000003E-2</v>
      </c>
      <c r="I55">
        <v>-21.677909</v>
      </c>
      <c r="J55">
        <v>-19.557901000000001</v>
      </c>
      <c r="K55">
        <v>-19.880312</v>
      </c>
      <c r="L55">
        <v>0.65110599999999996</v>
      </c>
      <c r="M55">
        <v>5.7499999999999999E-4</v>
      </c>
      <c r="N55">
        <v>224.45445799999999</v>
      </c>
    </row>
    <row r="56" spans="1:14" x14ac:dyDescent="0.2">
      <c r="A56">
        <v>10</v>
      </c>
      <c r="B56">
        <v>20</v>
      </c>
      <c r="C56">
        <v>9</v>
      </c>
      <c r="D56">
        <v>6</v>
      </c>
      <c r="E56">
        <v>9.9999999999999995E-7</v>
      </c>
      <c r="F56">
        <v>1.9805630000000001</v>
      </c>
      <c r="G56">
        <v>2.3802590000000001</v>
      </c>
      <c r="H56">
        <v>0.26463900000000001</v>
      </c>
      <c r="I56">
        <v>-8.1984790000000007</v>
      </c>
      <c r="J56">
        <v>-5.8243609999999997</v>
      </c>
      <c r="K56">
        <v>-6.0325730000000002</v>
      </c>
      <c r="L56">
        <v>0.58515700000000004</v>
      </c>
      <c r="M56">
        <v>5.0799999999999999E-4</v>
      </c>
      <c r="N56">
        <v>214.47889499999999</v>
      </c>
    </row>
    <row r="57" spans="1:14" x14ac:dyDescent="0.2">
      <c r="A57">
        <v>10</v>
      </c>
      <c r="B57">
        <v>20</v>
      </c>
      <c r="C57">
        <v>1</v>
      </c>
      <c r="D57">
        <v>7</v>
      </c>
      <c r="E57">
        <v>9.9999999999999995E-7</v>
      </c>
      <c r="F57">
        <v>0.87512199999999996</v>
      </c>
      <c r="G57">
        <v>0.87453499999999995</v>
      </c>
      <c r="H57">
        <v>0</v>
      </c>
      <c r="I57">
        <v>-122.860432</v>
      </c>
      <c r="J57">
        <v>-122.285679</v>
      </c>
      <c r="K57">
        <v>-122.285679</v>
      </c>
      <c r="L57">
        <v>0.58965999999999996</v>
      </c>
      <c r="M57">
        <v>8.2999999999999998E-5</v>
      </c>
      <c r="N57">
        <v>340.407465</v>
      </c>
    </row>
    <row r="58" spans="1:14" x14ac:dyDescent="0.2">
      <c r="A58">
        <v>10</v>
      </c>
      <c r="B58">
        <v>20</v>
      </c>
      <c r="C58">
        <v>2</v>
      </c>
      <c r="D58">
        <v>7</v>
      </c>
      <c r="E58">
        <v>9.9999999999999995E-7</v>
      </c>
      <c r="F58">
        <v>0.92199900000000001</v>
      </c>
      <c r="G58">
        <v>0.92138900000000001</v>
      </c>
      <c r="H58">
        <v>0</v>
      </c>
      <c r="I58">
        <v>-107.833958</v>
      </c>
      <c r="J58">
        <v>-106.99666499999999</v>
      </c>
      <c r="K58">
        <v>-106.99666499999999</v>
      </c>
      <c r="L58">
        <v>0.69775500000000001</v>
      </c>
      <c r="M58">
        <v>2.0599999999999999E-4</v>
      </c>
      <c r="N58">
        <v>368.84125299999999</v>
      </c>
    </row>
    <row r="59" spans="1:14" x14ac:dyDescent="0.2">
      <c r="A59">
        <v>10</v>
      </c>
      <c r="B59">
        <v>20</v>
      </c>
      <c r="C59">
        <v>3</v>
      </c>
      <c r="D59">
        <v>7</v>
      </c>
      <c r="E59">
        <v>9.9999999999999995E-7</v>
      </c>
      <c r="F59">
        <v>0.95320899999999997</v>
      </c>
      <c r="G59">
        <v>0.95266499999999998</v>
      </c>
      <c r="H59">
        <v>8.1800000000000004E-4</v>
      </c>
      <c r="I59">
        <v>-93.106149000000002</v>
      </c>
      <c r="J59">
        <v>-92.035945999999996</v>
      </c>
      <c r="K59">
        <v>-92.035945999999996</v>
      </c>
      <c r="L59">
        <v>0.67311900000000002</v>
      </c>
      <c r="M59">
        <v>3.5E-4</v>
      </c>
      <c r="N59">
        <v>332.18963100000002</v>
      </c>
    </row>
    <row r="60" spans="1:14" x14ac:dyDescent="0.2">
      <c r="A60">
        <v>10</v>
      </c>
      <c r="B60">
        <v>20</v>
      </c>
      <c r="C60">
        <v>4</v>
      </c>
      <c r="D60">
        <v>7</v>
      </c>
      <c r="E60">
        <v>9.9999999999999995E-7</v>
      </c>
      <c r="F60">
        <v>0.98113799999999995</v>
      </c>
      <c r="G60">
        <v>0.98082599999999998</v>
      </c>
      <c r="H60">
        <v>2.3739999999999998E-3</v>
      </c>
      <c r="I60">
        <v>-78.449471000000003</v>
      </c>
      <c r="J60">
        <v>-77.171124000000006</v>
      </c>
      <c r="K60">
        <v>-77.224216999999996</v>
      </c>
      <c r="L60">
        <v>0.58224399999999998</v>
      </c>
      <c r="M60">
        <v>2.7399999999999999E-4</v>
      </c>
      <c r="N60">
        <v>299.134705</v>
      </c>
    </row>
    <row r="61" spans="1:14" x14ac:dyDescent="0.2">
      <c r="A61">
        <v>10</v>
      </c>
      <c r="B61">
        <v>20</v>
      </c>
      <c r="C61">
        <v>5</v>
      </c>
      <c r="D61">
        <v>7</v>
      </c>
      <c r="E61">
        <v>9.9999999999999995E-7</v>
      </c>
      <c r="F61">
        <v>1.011857</v>
      </c>
      <c r="G61">
        <v>1.012054</v>
      </c>
      <c r="H61">
        <v>2.372E-3</v>
      </c>
      <c r="I61">
        <v>-63.398769999999999</v>
      </c>
      <c r="J61">
        <v>-62.363478999999998</v>
      </c>
      <c r="K61">
        <v>-62.363478999999998</v>
      </c>
      <c r="L61">
        <v>0.57843100000000003</v>
      </c>
      <c r="M61">
        <v>3.0299999999999999E-4</v>
      </c>
      <c r="N61">
        <v>263.39747599999998</v>
      </c>
    </row>
    <row r="62" spans="1:14" x14ac:dyDescent="0.2">
      <c r="A62">
        <v>10</v>
      </c>
      <c r="B62">
        <v>20</v>
      </c>
      <c r="C62">
        <v>6</v>
      </c>
      <c r="D62">
        <v>7</v>
      </c>
      <c r="E62">
        <v>9.9999999999999995E-7</v>
      </c>
      <c r="F62">
        <v>1.053102</v>
      </c>
      <c r="G62">
        <v>1.05369</v>
      </c>
      <c r="H62">
        <v>1.1875E-2</v>
      </c>
      <c r="I62">
        <v>-48.490622999999999</v>
      </c>
      <c r="J62">
        <v>-47.959752999999999</v>
      </c>
      <c r="K62">
        <v>-48.112910999999997</v>
      </c>
      <c r="L62">
        <v>0.58259499999999997</v>
      </c>
      <c r="M62">
        <v>3.7500000000000001E-4</v>
      </c>
      <c r="N62">
        <v>266.44666699999999</v>
      </c>
    </row>
    <row r="63" spans="1:14" x14ac:dyDescent="0.2">
      <c r="A63">
        <v>10</v>
      </c>
      <c r="B63">
        <v>20</v>
      </c>
      <c r="C63">
        <v>7</v>
      </c>
      <c r="D63">
        <v>7</v>
      </c>
      <c r="E63">
        <v>9.9999999999999995E-7</v>
      </c>
      <c r="F63">
        <v>1.1207339999999999</v>
      </c>
      <c r="G63">
        <v>1.1222289999999999</v>
      </c>
      <c r="H63">
        <v>1.6922E-2</v>
      </c>
      <c r="I63">
        <v>-34.095391999999997</v>
      </c>
      <c r="J63">
        <v>-33.678176000000001</v>
      </c>
      <c r="K63">
        <v>-33.594940999999999</v>
      </c>
      <c r="L63">
        <v>0.60772300000000001</v>
      </c>
      <c r="M63">
        <v>4.4700000000000002E-4</v>
      </c>
      <c r="N63">
        <v>236.36778899999999</v>
      </c>
    </row>
    <row r="64" spans="1:14" x14ac:dyDescent="0.2">
      <c r="A64">
        <v>10</v>
      </c>
      <c r="B64">
        <v>20</v>
      </c>
      <c r="C64">
        <v>8</v>
      </c>
      <c r="D64">
        <v>7</v>
      </c>
      <c r="E64">
        <v>9.9999999999999995E-7</v>
      </c>
      <c r="F64">
        <v>1.2678849999999999</v>
      </c>
      <c r="G64">
        <v>1.2763340000000001</v>
      </c>
      <c r="H64">
        <v>3.9137999999999999E-2</v>
      </c>
      <c r="I64">
        <v>-20.351153</v>
      </c>
      <c r="J64">
        <v>-19.728949</v>
      </c>
      <c r="K64">
        <v>-19.533884</v>
      </c>
      <c r="L64">
        <v>0.83433400000000002</v>
      </c>
      <c r="M64">
        <v>2.081E-3</v>
      </c>
      <c r="N64">
        <v>221.54217299999999</v>
      </c>
    </row>
    <row r="65" spans="1:14" x14ac:dyDescent="0.2">
      <c r="A65">
        <v>10</v>
      </c>
      <c r="B65">
        <v>20</v>
      </c>
      <c r="C65">
        <v>9</v>
      </c>
      <c r="D65">
        <v>7</v>
      </c>
      <c r="E65">
        <v>9.9999999999999995E-7</v>
      </c>
      <c r="F65">
        <v>1.8731869999999999</v>
      </c>
      <c r="G65">
        <v>2.0314350000000001</v>
      </c>
      <c r="H65">
        <v>0.34162799999999999</v>
      </c>
      <c r="I65">
        <v>-7.5924209999999999</v>
      </c>
      <c r="J65">
        <v>-6.4275539999999998</v>
      </c>
      <c r="K65">
        <v>-7.5986640000000003</v>
      </c>
      <c r="L65">
        <v>0.70491800000000004</v>
      </c>
      <c r="M65">
        <v>5.6499999999999996E-4</v>
      </c>
      <c r="N65">
        <v>218.20359500000001</v>
      </c>
    </row>
    <row r="66" spans="1:14" x14ac:dyDescent="0.2">
      <c r="A66">
        <v>10</v>
      </c>
      <c r="B66">
        <v>20</v>
      </c>
      <c r="C66">
        <v>1</v>
      </c>
      <c r="D66">
        <v>8</v>
      </c>
      <c r="E66">
        <v>9.9999999999999995E-7</v>
      </c>
      <c r="F66">
        <v>0.87594099999999997</v>
      </c>
      <c r="G66">
        <v>0.87567799999999996</v>
      </c>
      <c r="H66">
        <v>0</v>
      </c>
      <c r="I66">
        <v>-123.15531300000001</v>
      </c>
      <c r="J66">
        <v>-122.89469099999999</v>
      </c>
      <c r="K66">
        <v>-122.89469099999999</v>
      </c>
      <c r="L66">
        <v>0.58512299999999995</v>
      </c>
      <c r="M66">
        <v>1.05E-4</v>
      </c>
      <c r="N66">
        <v>806.415346</v>
      </c>
    </row>
    <row r="67" spans="1:14" x14ac:dyDescent="0.2">
      <c r="A67">
        <v>10</v>
      </c>
      <c r="B67">
        <v>20</v>
      </c>
      <c r="C67">
        <v>2</v>
      </c>
      <c r="D67">
        <v>8</v>
      </c>
      <c r="E67">
        <v>9.9999999999999995E-7</v>
      </c>
      <c r="F67">
        <v>0.92305000000000004</v>
      </c>
      <c r="G67">
        <v>0.92245600000000005</v>
      </c>
      <c r="H67">
        <v>0</v>
      </c>
      <c r="I67">
        <v>-108.47438099999999</v>
      </c>
      <c r="J67">
        <v>-107.64402</v>
      </c>
      <c r="K67">
        <v>-107.64402</v>
      </c>
      <c r="L67">
        <v>2.4049619999999998</v>
      </c>
      <c r="M67">
        <v>5.7200000000000003E-4</v>
      </c>
      <c r="N67">
        <v>649.58595600000001</v>
      </c>
    </row>
    <row r="68" spans="1:14" x14ac:dyDescent="0.2">
      <c r="A68">
        <v>10</v>
      </c>
      <c r="B68">
        <v>20</v>
      </c>
      <c r="C68">
        <v>3</v>
      </c>
      <c r="D68">
        <v>8</v>
      </c>
      <c r="E68">
        <v>9.9999999999999995E-7</v>
      </c>
      <c r="F68">
        <v>0.95400200000000002</v>
      </c>
      <c r="G68">
        <v>0.953654</v>
      </c>
      <c r="H68">
        <v>5.0500000000000002E-4</v>
      </c>
      <c r="I68">
        <v>-93.317920999999998</v>
      </c>
      <c r="J68">
        <v>-92.616692999999998</v>
      </c>
      <c r="K68">
        <v>-92.616692999999998</v>
      </c>
      <c r="L68">
        <v>0.68944799999999995</v>
      </c>
      <c r="M68">
        <v>1.9699999999999999E-4</v>
      </c>
      <c r="N68">
        <v>308.22684900000002</v>
      </c>
    </row>
    <row r="69" spans="1:14" x14ac:dyDescent="0.2">
      <c r="A69">
        <v>10</v>
      </c>
      <c r="B69">
        <v>20</v>
      </c>
      <c r="C69">
        <v>4</v>
      </c>
      <c r="D69">
        <v>8</v>
      </c>
      <c r="E69">
        <v>9.9999999999999995E-7</v>
      </c>
      <c r="F69">
        <v>0.98211099999999996</v>
      </c>
      <c r="G69">
        <v>0.98180100000000003</v>
      </c>
      <c r="H69">
        <v>2.6719999999999999E-3</v>
      </c>
      <c r="I69">
        <v>-79.134896999999995</v>
      </c>
      <c r="J69">
        <v>-77.786958999999996</v>
      </c>
      <c r="K69">
        <v>-77.798506000000003</v>
      </c>
      <c r="L69">
        <v>0.25076399999999999</v>
      </c>
      <c r="M69">
        <v>3.8200000000000002E-4</v>
      </c>
      <c r="N69">
        <v>404.16005999999999</v>
      </c>
    </row>
    <row r="70" spans="1:14" x14ac:dyDescent="0.2">
      <c r="A70">
        <v>10</v>
      </c>
      <c r="B70">
        <v>20</v>
      </c>
      <c r="C70">
        <v>5</v>
      </c>
      <c r="D70">
        <v>8</v>
      </c>
      <c r="E70">
        <v>9.9999999999999995E-7</v>
      </c>
      <c r="F70">
        <v>1.012505</v>
      </c>
      <c r="G70">
        <v>1.0129509999999999</v>
      </c>
      <c r="H70">
        <v>3.0200000000000001E-3</v>
      </c>
      <c r="I70">
        <v>-65.237780999999998</v>
      </c>
      <c r="J70">
        <v>-62.992742999999997</v>
      </c>
      <c r="K70">
        <v>-62.992742999999997</v>
      </c>
      <c r="L70">
        <v>0.333783</v>
      </c>
      <c r="M70">
        <v>4.2900000000000002E-4</v>
      </c>
      <c r="N70">
        <v>312.590754</v>
      </c>
    </row>
    <row r="71" spans="1:14" x14ac:dyDescent="0.2">
      <c r="A71">
        <v>10</v>
      </c>
      <c r="B71">
        <v>20</v>
      </c>
      <c r="C71">
        <v>6</v>
      </c>
      <c r="D71">
        <v>8</v>
      </c>
      <c r="E71">
        <v>9.9999999999999995E-7</v>
      </c>
      <c r="F71">
        <v>1.0526869999999999</v>
      </c>
      <c r="G71">
        <v>1.05443</v>
      </c>
      <c r="H71">
        <v>9.4260000000000004E-3</v>
      </c>
      <c r="I71">
        <v>-50.087881000000003</v>
      </c>
      <c r="J71">
        <v>-48.484693</v>
      </c>
      <c r="K71">
        <v>-48.598261999999998</v>
      </c>
      <c r="L71">
        <v>0.18637100000000001</v>
      </c>
      <c r="M71">
        <v>3.3599999999999998E-4</v>
      </c>
      <c r="N71">
        <v>268.40119700000002</v>
      </c>
    </row>
    <row r="72" spans="1:14" x14ac:dyDescent="0.2">
      <c r="A72">
        <v>10</v>
      </c>
      <c r="B72">
        <v>20</v>
      </c>
      <c r="C72">
        <v>7</v>
      </c>
      <c r="D72">
        <v>8</v>
      </c>
      <c r="E72">
        <v>9.9999999999999995E-7</v>
      </c>
      <c r="F72">
        <v>1.1166180000000001</v>
      </c>
      <c r="G72">
        <v>1.12263</v>
      </c>
      <c r="H72">
        <v>2.2692E-2</v>
      </c>
      <c r="I72">
        <v>-35.847766</v>
      </c>
      <c r="J72">
        <v>-34.090488000000001</v>
      </c>
      <c r="K72">
        <v>-34.399901</v>
      </c>
      <c r="L72">
        <v>0.19054099999999999</v>
      </c>
      <c r="M72">
        <v>3.5300000000000002E-4</v>
      </c>
      <c r="N72">
        <v>216.243855</v>
      </c>
    </row>
    <row r="73" spans="1:14" x14ac:dyDescent="0.2">
      <c r="A73">
        <v>10</v>
      </c>
      <c r="B73">
        <v>20</v>
      </c>
      <c r="C73">
        <v>8</v>
      </c>
      <c r="D73">
        <v>8</v>
      </c>
      <c r="E73">
        <v>9.9999999999999995E-7</v>
      </c>
      <c r="F73">
        <v>1.255992</v>
      </c>
      <c r="G73">
        <v>1.273388</v>
      </c>
      <c r="H73">
        <v>3.6769000000000003E-2</v>
      </c>
      <c r="I73">
        <v>-21.546879000000001</v>
      </c>
      <c r="J73">
        <v>-20.175799999999999</v>
      </c>
      <c r="K73">
        <v>-20.175799999999999</v>
      </c>
      <c r="L73">
        <v>0.243538</v>
      </c>
      <c r="M73">
        <v>4.15E-4</v>
      </c>
      <c r="N73">
        <v>244.625213</v>
      </c>
    </row>
    <row r="74" spans="1:14" x14ac:dyDescent="0.2">
      <c r="A74">
        <v>10</v>
      </c>
      <c r="B74">
        <v>20</v>
      </c>
      <c r="C74">
        <v>9</v>
      </c>
      <c r="D74">
        <v>8</v>
      </c>
      <c r="E74">
        <v>9.9999999999999995E-7</v>
      </c>
      <c r="F74">
        <v>1.8070440000000001</v>
      </c>
      <c r="G74">
        <v>2.0325899999999999</v>
      </c>
      <c r="H74">
        <v>0.22426099999999999</v>
      </c>
      <c r="I74">
        <v>-8.2940349999999992</v>
      </c>
      <c r="J74">
        <v>-6.4823899999999997</v>
      </c>
      <c r="K74">
        <v>-7.1586100000000004</v>
      </c>
      <c r="L74">
        <v>0.269231</v>
      </c>
      <c r="M74">
        <v>4.8799999999999999E-4</v>
      </c>
      <c r="N74">
        <v>220.103002</v>
      </c>
    </row>
    <row r="75" spans="1:14" x14ac:dyDescent="0.2">
      <c r="A75">
        <v>10</v>
      </c>
      <c r="B75">
        <v>20</v>
      </c>
      <c r="C75">
        <v>1</v>
      </c>
      <c r="D75">
        <v>9</v>
      </c>
      <c r="E75">
        <v>9.9999999999999995E-7</v>
      </c>
      <c r="F75">
        <v>0.89438700000000004</v>
      </c>
      <c r="G75">
        <v>0.89410900000000004</v>
      </c>
      <c r="H75">
        <v>0</v>
      </c>
      <c r="I75">
        <v>-122.849355</v>
      </c>
      <c r="J75">
        <v>-122.52668300000001</v>
      </c>
      <c r="K75">
        <v>-122.52668300000001</v>
      </c>
      <c r="L75">
        <v>0.23715700000000001</v>
      </c>
      <c r="M75">
        <v>7.7000000000000001E-5</v>
      </c>
      <c r="N75">
        <v>360.19914199999999</v>
      </c>
    </row>
    <row r="76" spans="1:14" x14ac:dyDescent="0.2">
      <c r="A76">
        <v>10</v>
      </c>
      <c r="B76">
        <v>20</v>
      </c>
      <c r="C76">
        <v>2</v>
      </c>
      <c r="D76">
        <v>9</v>
      </c>
      <c r="E76">
        <v>9.9999999999999995E-7</v>
      </c>
      <c r="F76">
        <v>0.94396800000000003</v>
      </c>
      <c r="G76">
        <v>0.94351099999999999</v>
      </c>
      <c r="H76">
        <v>0</v>
      </c>
      <c r="I76">
        <v>-107.8502</v>
      </c>
      <c r="J76">
        <v>-106.97805099999999</v>
      </c>
      <c r="K76">
        <v>-106.97805099999999</v>
      </c>
      <c r="L76">
        <v>0.33305800000000002</v>
      </c>
      <c r="M76">
        <v>1.6100000000000001E-4</v>
      </c>
      <c r="N76">
        <v>334.80723499999999</v>
      </c>
    </row>
    <row r="77" spans="1:14" x14ac:dyDescent="0.2">
      <c r="A77">
        <v>10</v>
      </c>
      <c r="B77">
        <v>20</v>
      </c>
      <c r="C77">
        <v>3</v>
      </c>
      <c r="D77">
        <v>9</v>
      </c>
      <c r="E77">
        <v>9.9999999999999995E-7</v>
      </c>
      <c r="F77">
        <v>0.97847799999999996</v>
      </c>
      <c r="G77">
        <v>0.97832600000000003</v>
      </c>
      <c r="H77">
        <v>1.157E-3</v>
      </c>
      <c r="I77">
        <v>-92.389712000000003</v>
      </c>
      <c r="J77">
        <v>-91.741510000000005</v>
      </c>
      <c r="K77">
        <v>-91.741510000000005</v>
      </c>
      <c r="L77">
        <v>0.29918099999999997</v>
      </c>
      <c r="M77">
        <v>2.2100000000000001E-4</v>
      </c>
      <c r="N77">
        <v>379.80977999999999</v>
      </c>
    </row>
    <row r="78" spans="1:14" x14ac:dyDescent="0.2">
      <c r="A78">
        <v>10</v>
      </c>
      <c r="B78">
        <v>20</v>
      </c>
      <c r="C78">
        <v>4</v>
      </c>
      <c r="D78">
        <v>9</v>
      </c>
      <c r="E78">
        <v>9.9999999999999995E-7</v>
      </c>
      <c r="F78">
        <v>1.0115000000000001</v>
      </c>
      <c r="G78">
        <v>1.0115909999999999</v>
      </c>
      <c r="H78">
        <v>3.127E-3</v>
      </c>
      <c r="I78">
        <v>-77.248883000000006</v>
      </c>
      <c r="J78">
        <v>-76.645325999999997</v>
      </c>
      <c r="K78">
        <v>-76.645325999999997</v>
      </c>
      <c r="L78">
        <v>0.23824300000000001</v>
      </c>
      <c r="M78">
        <v>2.52E-4</v>
      </c>
      <c r="N78">
        <v>335.96589999999998</v>
      </c>
    </row>
    <row r="79" spans="1:14" x14ac:dyDescent="0.2">
      <c r="A79">
        <v>10</v>
      </c>
      <c r="B79">
        <v>20</v>
      </c>
      <c r="C79">
        <v>5</v>
      </c>
      <c r="D79">
        <v>9</v>
      </c>
      <c r="E79">
        <v>9.9999999999999995E-7</v>
      </c>
      <c r="F79">
        <v>1.050421</v>
      </c>
      <c r="G79">
        <v>1.05061</v>
      </c>
      <c r="H79">
        <v>6.5709999999999996E-3</v>
      </c>
      <c r="I79">
        <v>-61.875509999999998</v>
      </c>
      <c r="J79">
        <v>-61.643884999999997</v>
      </c>
      <c r="K79">
        <v>-61.643884999999997</v>
      </c>
      <c r="L79">
        <v>0.23830200000000001</v>
      </c>
      <c r="M79">
        <v>2.8200000000000002E-4</v>
      </c>
      <c r="N79">
        <v>292.06424399999997</v>
      </c>
    </row>
    <row r="80" spans="1:14" x14ac:dyDescent="0.2">
      <c r="A80">
        <v>10</v>
      </c>
      <c r="B80">
        <v>20</v>
      </c>
      <c r="C80">
        <v>6</v>
      </c>
      <c r="D80">
        <v>9</v>
      </c>
      <c r="E80">
        <v>9.9999999999999995E-7</v>
      </c>
      <c r="F80">
        <v>1.1041069999999999</v>
      </c>
      <c r="G80">
        <v>1.105283</v>
      </c>
      <c r="H80">
        <v>1.7163999999999999E-2</v>
      </c>
      <c r="I80">
        <v>-47.480300999999997</v>
      </c>
      <c r="J80">
        <v>-46.949734999999997</v>
      </c>
      <c r="K80">
        <v>-47.175801</v>
      </c>
      <c r="L80">
        <v>0.30374299999999999</v>
      </c>
      <c r="M80">
        <v>3.8999999999999999E-4</v>
      </c>
      <c r="N80">
        <v>320.06115899999998</v>
      </c>
    </row>
    <row r="81" spans="1:14" x14ac:dyDescent="0.2">
      <c r="A81">
        <v>10</v>
      </c>
      <c r="B81">
        <v>20</v>
      </c>
      <c r="C81">
        <v>7</v>
      </c>
      <c r="D81">
        <v>9</v>
      </c>
      <c r="E81">
        <v>9.9999999999999995E-7</v>
      </c>
      <c r="F81">
        <v>1.1986840000000001</v>
      </c>
      <c r="G81">
        <v>1.199654</v>
      </c>
      <c r="H81">
        <v>2.1898999999999998E-2</v>
      </c>
      <c r="I81">
        <v>-32.637442</v>
      </c>
      <c r="J81">
        <v>-32.478892000000002</v>
      </c>
      <c r="K81">
        <v>-32.494219999999999</v>
      </c>
      <c r="L81">
        <v>0.27890399999999999</v>
      </c>
      <c r="M81">
        <v>5.4000000000000001E-4</v>
      </c>
      <c r="N81">
        <v>193.57575399999999</v>
      </c>
    </row>
    <row r="82" spans="1:14" x14ac:dyDescent="0.2">
      <c r="A82">
        <v>10</v>
      </c>
      <c r="B82">
        <v>20</v>
      </c>
      <c r="C82">
        <v>8</v>
      </c>
      <c r="D82">
        <v>9</v>
      </c>
      <c r="E82">
        <v>9.9999999999999995E-7</v>
      </c>
      <c r="F82">
        <v>1.4180090000000001</v>
      </c>
      <c r="G82">
        <v>1.426102</v>
      </c>
      <c r="H82">
        <v>4.8015000000000002E-2</v>
      </c>
      <c r="I82">
        <v>-18.707350999999999</v>
      </c>
      <c r="J82">
        <v>-18.352035000000001</v>
      </c>
      <c r="K82">
        <v>-18.410892</v>
      </c>
      <c r="L82">
        <v>0.65020299999999998</v>
      </c>
      <c r="M82">
        <v>5.5099999999999995E-4</v>
      </c>
      <c r="N82">
        <v>294.36922900000002</v>
      </c>
    </row>
    <row r="83" spans="1:14" x14ac:dyDescent="0.2">
      <c r="A83">
        <v>10</v>
      </c>
      <c r="B83">
        <v>20</v>
      </c>
      <c r="C83">
        <v>9</v>
      </c>
      <c r="D83">
        <v>9</v>
      </c>
      <c r="E83">
        <v>9.9999999999999995E-7</v>
      </c>
      <c r="F83">
        <v>2.835413</v>
      </c>
      <c r="G83">
        <v>2.9940560000000001</v>
      </c>
      <c r="H83">
        <v>0.30276900000000001</v>
      </c>
      <c r="I83">
        <v>-4.9022610000000002</v>
      </c>
      <c r="J83">
        <v>-4.5122470000000003</v>
      </c>
      <c r="K83">
        <v>-5.0445890000000002</v>
      </c>
      <c r="L83">
        <v>0.37792799999999999</v>
      </c>
      <c r="M83">
        <v>7.4600000000000003E-4</v>
      </c>
      <c r="N83">
        <v>232.23102499999999</v>
      </c>
    </row>
    <row r="84" spans="1:14" x14ac:dyDescent="0.2">
      <c r="A84">
        <v>10</v>
      </c>
      <c r="B84">
        <v>20</v>
      </c>
      <c r="C84">
        <v>1</v>
      </c>
      <c r="D84">
        <v>10</v>
      </c>
      <c r="E84">
        <v>9.9999999999999995E-7</v>
      </c>
      <c r="F84">
        <v>0.87424199999999996</v>
      </c>
      <c r="G84">
        <v>0.87418700000000005</v>
      </c>
      <c r="H84">
        <v>0</v>
      </c>
      <c r="I84">
        <v>-122.76159</v>
      </c>
      <c r="J84">
        <v>-122.707325</v>
      </c>
      <c r="K84">
        <v>-122.707325</v>
      </c>
      <c r="L84">
        <v>0.60880900000000004</v>
      </c>
      <c r="M84">
        <v>1.1E-4</v>
      </c>
      <c r="N84">
        <v>351.65461499999998</v>
      </c>
    </row>
    <row r="85" spans="1:14" x14ac:dyDescent="0.2">
      <c r="A85">
        <v>10</v>
      </c>
      <c r="B85">
        <v>20</v>
      </c>
      <c r="C85">
        <v>2</v>
      </c>
      <c r="D85">
        <v>10</v>
      </c>
      <c r="E85">
        <v>9.9999999999999995E-7</v>
      </c>
      <c r="F85">
        <v>0.921323</v>
      </c>
      <c r="G85">
        <v>0.92078000000000004</v>
      </c>
      <c r="H85">
        <v>6.7000000000000002E-5</v>
      </c>
      <c r="I85">
        <v>-108.122422</v>
      </c>
      <c r="J85">
        <v>-107.381351</v>
      </c>
      <c r="K85">
        <v>-107.381351</v>
      </c>
      <c r="L85">
        <v>0.68801100000000004</v>
      </c>
      <c r="M85">
        <v>1.7899999999999999E-4</v>
      </c>
      <c r="N85">
        <v>358.81387100000001</v>
      </c>
    </row>
    <row r="86" spans="1:14" x14ac:dyDescent="0.2">
      <c r="A86">
        <v>10</v>
      </c>
      <c r="B86">
        <v>20</v>
      </c>
      <c r="C86">
        <v>3</v>
      </c>
      <c r="D86">
        <v>10</v>
      </c>
      <c r="E86">
        <v>9.9999999999999995E-7</v>
      </c>
      <c r="F86">
        <v>0.95209699999999997</v>
      </c>
      <c r="G86">
        <v>0.95177500000000004</v>
      </c>
      <c r="H86">
        <v>7.4299999999999995E-4</v>
      </c>
      <c r="I86">
        <v>-92.939660000000003</v>
      </c>
      <c r="J86">
        <v>-92.319526999999994</v>
      </c>
      <c r="K86">
        <v>-92.319526999999994</v>
      </c>
      <c r="L86">
        <v>0.59857499999999997</v>
      </c>
      <c r="M86">
        <v>2.2000000000000001E-4</v>
      </c>
      <c r="N86">
        <v>315.55362400000001</v>
      </c>
    </row>
    <row r="87" spans="1:14" x14ac:dyDescent="0.2">
      <c r="A87">
        <v>10</v>
      </c>
      <c r="B87">
        <v>20</v>
      </c>
      <c r="C87">
        <v>4</v>
      </c>
      <c r="D87">
        <v>10</v>
      </c>
      <c r="E87">
        <v>9.9999999999999995E-7</v>
      </c>
      <c r="F87">
        <v>0.97978500000000002</v>
      </c>
      <c r="G87">
        <v>0.97965500000000005</v>
      </c>
      <c r="H87">
        <v>2.33E-3</v>
      </c>
      <c r="I87">
        <v>-77.929678999999993</v>
      </c>
      <c r="J87">
        <v>-77.430356000000003</v>
      </c>
      <c r="K87">
        <v>-77.430356000000003</v>
      </c>
      <c r="L87">
        <v>0.73298300000000005</v>
      </c>
      <c r="M87">
        <v>4.6299999999999998E-4</v>
      </c>
      <c r="N87">
        <v>351.81226800000002</v>
      </c>
    </row>
    <row r="88" spans="1:14" x14ac:dyDescent="0.2">
      <c r="A88">
        <v>10</v>
      </c>
      <c r="B88">
        <v>20</v>
      </c>
      <c r="C88">
        <v>5</v>
      </c>
      <c r="D88">
        <v>10</v>
      </c>
      <c r="E88">
        <v>9.9999999999999995E-7</v>
      </c>
      <c r="F88">
        <v>1.0102910000000001</v>
      </c>
      <c r="G88">
        <v>1.010478</v>
      </c>
      <c r="H88">
        <v>3.6080000000000001E-3</v>
      </c>
      <c r="I88">
        <v>-63.757845000000003</v>
      </c>
      <c r="J88">
        <v>-62.619967000000003</v>
      </c>
      <c r="K88">
        <v>-62.619967000000003</v>
      </c>
      <c r="L88">
        <v>0.60316499999999995</v>
      </c>
      <c r="M88">
        <v>3.5300000000000002E-4</v>
      </c>
      <c r="N88">
        <v>372.11711500000001</v>
      </c>
    </row>
    <row r="89" spans="1:14" x14ac:dyDescent="0.2">
      <c r="A89">
        <v>10</v>
      </c>
      <c r="B89">
        <v>20</v>
      </c>
      <c r="C89">
        <v>6</v>
      </c>
      <c r="D89">
        <v>10</v>
      </c>
      <c r="E89">
        <v>9.9999999999999995E-7</v>
      </c>
      <c r="F89">
        <v>1.050316</v>
      </c>
      <c r="G89">
        <v>1.051248</v>
      </c>
      <c r="H89">
        <v>4.5360000000000001E-3</v>
      </c>
      <c r="I89">
        <v>-49.274994999999997</v>
      </c>
      <c r="J89">
        <v>-48.378740999999998</v>
      </c>
      <c r="K89">
        <v>-48.033526000000002</v>
      </c>
      <c r="L89">
        <v>0.57858299999999996</v>
      </c>
      <c r="M89">
        <v>4.0299999999999998E-4</v>
      </c>
      <c r="N89">
        <v>253.28248600000001</v>
      </c>
    </row>
    <row r="90" spans="1:14" x14ac:dyDescent="0.2">
      <c r="A90">
        <v>10</v>
      </c>
      <c r="B90">
        <v>20</v>
      </c>
      <c r="C90">
        <v>7</v>
      </c>
      <c r="D90">
        <v>10</v>
      </c>
      <c r="E90">
        <v>9.9999999999999995E-7</v>
      </c>
      <c r="F90">
        <v>1.1153329999999999</v>
      </c>
      <c r="G90">
        <v>1.117693</v>
      </c>
      <c r="H90">
        <v>1.7798999999999999E-2</v>
      </c>
      <c r="I90">
        <v>-34.862848999999997</v>
      </c>
      <c r="J90">
        <v>-34.163859000000002</v>
      </c>
      <c r="K90">
        <v>-34.117271000000002</v>
      </c>
      <c r="L90">
        <v>0.59573399999999999</v>
      </c>
      <c r="M90">
        <v>4.5399999999999998E-4</v>
      </c>
      <c r="N90">
        <v>229.71894399999999</v>
      </c>
    </row>
    <row r="91" spans="1:14" x14ac:dyDescent="0.2">
      <c r="A91">
        <v>10</v>
      </c>
      <c r="B91">
        <v>20</v>
      </c>
      <c r="C91">
        <v>8</v>
      </c>
      <c r="D91">
        <v>10</v>
      </c>
      <c r="E91">
        <v>9.9999999999999995E-7</v>
      </c>
      <c r="F91">
        <v>1.254237</v>
      </c>
      <c r="G91">
        <v>1.263209</v>
      </c>
      <c r="H91">
        <v>6.4795000000000005E-2</v>
      </c>
      <c r="I91">
        <v>-21.067542</v>
      </c>
      <c r="J91">
        <v>-20.349435</v>
      </c>
      <c r="K91">
        <v>-20.786957999999998</v>
      </c>
      <c r="L91">
        <v>0.57614500000000002</v>
      </c>
      <c r="M91">
        <v>5.0600000000000005E-4</v>
      </c>
      <c r="N91">
        <v>197.22430700000001</v>
      </c>
    </row>
    <row r="92" spans="1:14" x14ac:dyDescent="0.2">
      <c r="A92">
        <v>10</v>
      </c>
      <c r="B92">
        <v>20</v>
      </c>
      <c r="C92">
        <v>9</v>
      </c>
      <c r="D92">
        <v>10</v>
      </c>
      <c r="E92">
        <v>9.9999999999999995E-7</v>
      </c>
      <c r="F92">
        <v>1.842438</v>
      </c>
      <c r="G92">
        <v>1.9686509999999999</v>
      </c>
      <c r="H92">
        <v>0.126384</v>
      </c>
      <c r="I92">
        <v>-7.7560339999999997</v>
      </c>
      <c r="J92">
        <v>-6.745444</v>
      </c>
      <c r="K92">
        <v>-6.5031739999999996</v>
      </c>
      <c r="L92">
        <v>0.58530000000000004</v>
      </c>
      <c r="M92">
        <v>5.5000000000000003E-4</v>
      </c>
      <c r="N92">
        <v>186.54560000000001</v>
      </c>
    </row>
    <row r="93" spans="1:14" x14ac:dyDescent="0.2">
      <c r="A93">
        <v>10</v>
      </c>
      <c r="B93">
        <v>20</v>
      </c>
      <c r="C93">
        <v>1</v>
      </c>
      <c r="D93">
        <v>11</v>
      </c>
      <c r="E93">
        <v>9.9999999999999995E-7</v>
      </c>
      <c r="F93">
        <v>0.89528099999999999</v>
      </c>
      <c r="G93">
        <v>0.89496600000000004</v>
      </c>
      <c r="H93">
        <v>0</v>
      </c>
      <c r="I93">
        <v>-122.649951</v>
      </c>
      <c r="J93">
        <v>-122.282895</v>
      </c>
      <c r="K93">
        <v>-122.282895</v>
      </c>
      <c r="L93">
        <v>0.58272900000000005</v>
      </c>
      <c r="M93">
        <v>8.6000000000000003E-5</v>
      </c>
      <c r="N93">
        <v>310.06815699999999</v>
      </c>
    </row>
    <row r="94" spans="1:14" x14ac:dyDescent="0.2">
      <c r="A94">
        <v>10</v>
      </c>
      <c r="B94">
        <v>20</v>
      </c>
      <c r="C94">
        <v>2</v>
      </c>
      <c r="D94">
        <v>11</v>
      </c>
      <c r="E94">
        <v>9.9999999999999995E-7</v>
      </c>
      <c r="F94">
        <v>0.94485200000000003</v>
      </c>
      <c r="G94">
        <v>0.944631</v>
      </c>
      <c r="H94">
        <v>0</v>
      </c>
      <c r="I94">
        <v>-107.208322</v>
      </c>
      <c r="J94">
        <v>-106.78183199999999</v>
      </c>
      <c r="K94">
        <v>-106.78183199999999</v>
      </c>
      <c r="L94">
        <v>0.75073000000000001</v>
      </c>
      <c r="M94">
        <v>5.4699999999999996E-4</v>
      </c>
      <c r="N94">
        <v>281.86369999999999</v>
      </c>
    </row>
    <row r="95" spans="1:14" x14ac:dyDescent="0.2">
      <c r="A95">
        <v>10</v>
      </c>
      <c r="B95">
        <v>20</v>
      </c>
      <c r="C95">
        <v>3</v>
      </c>
      <c r="D95">
        <v>11</v>
      </c>
      <c r="E95">
        <v>9.9999999999999995E-7</v>
      </c>
      <c r="F95">
        <v>0.97990200000000005</v>
      </c>
      <c r="G95">
        <v>0.97966200000000003</v>
      </c>
      <c r="H95">
        <v>0</v>
      </c>
      <c r="I95">
        <v>-92.434143000000006</v>
      </c>
      <c r="J95">
        <v>-91.344943999999998</v>
      </c>
      <c r="K95">
        <v>-91.344943999999998</v>
      </c>
      <c r="L95">
        <v>0.76315100000000002</v>
      </c>
      <c r="M95">
        <v>3.5799999999999997E-4</v>
      </c>
      <c r="N95">
        <v>317.681712</v>
      </c>
    </row>
    <row r="96" spans="1:14" x14ac:dyDescent="0.2">
      <c r="A96">
        <v>10</v>
      </c>
      <c r="B96">
        <v>20</v>
      </c>
      <c r="C96">
        <v>4</v>
      </c>
      <c r="D96">
        <v>11</v>
      </c>
      <c r="E96">
        <v>9.9999999999999995E-7</v>
      </c>
      <c r="F96">
        <v>1.013131</v>
      </c>
      <c r="G96">
        <v>1.0133479999999999</v>
      </c>
      <c r="H96">
        <v>8.4400000000000002E-4</v>
      </c>
      <c r="I96">
        <v>-77.607740000000007</v>
      </c>
      <c r="J96">
        <v>-76.346384</v>
      </c>
      <c r="K96">
        <v>-76.346384</v>
      </c>
      <c r="L96">
        <v>2.4768219999999999</v>
      </c>
      <c r="M96">
        <v>2.43E-4</v>
      </c>
      <c r="N96">
        <v>416.26921099999998</v>
      </c>
    </row>
    <row r="97" spans="1:14" x14ac:dyDescent="0.2">
      <c r="A97">
        <v>10</v>
      </c>
      <c r="B97">
        <v>20</v>
      </c>
      <c r="C97">
        <v>5</v>
      </c>
      <c r="D97">
        <v>11</v>
      </c>
      <c r="E97">
        <v>9.9999999999999995E-7</v>
      </c>
      <c r="F97">
        <v>1.05155</v>
      </c>
      <c r="G97">
        <v>1.052713</v>
      </c>
      <c r="H97">
        <v>2.5179999999999998E-3</v>
      </c>
      <c r="I97">
        <v>-63.056063000000002</v>
      </c>
      <c r="J97">
        <v>-61.664856</v>
      </c>
      <c r="K97">
        <v>-61.469932999999997</v>
      </c>
      <c r="L97">
        <v>0.59928499999999996</v>
      </c>
      <c r="M97">
        <v>3.2200000000000002E-4</v>
      </c>
      <c r="N97">
        <v>301.10292099999998</v>
      </c>
    </row>
    <row r="98" spans="1:14" x14ac:dyDescent="0.2">
      <c r="A98">
        <v>10</v>
      </c>
      <c r="B98">
        <v>20</v>
      </c>
      <c r="C98">
        <v>6</v>
      </c>
      <c r="D98">
        <v>11</v>
      </c>
      <c r="E98">
        <v>9.9999999999999995E-7</v>
      </c>
      <c r="F98">
        <v>1.107127</v>
      </c>
      <c r="G98">
        <v>1.1076809999999999</v>
      </c>
      <c r="H98">
        <v>1.5883999999999999E-2</v>
      </c>
      <c r="I98">
        <v>-47.361862000000002</v>
      </c>
      <c r="J98">
        <v>-47.118234999999999</v>
      </c>
      <c r="K98">
        <v>-47.278281</v>
      </c>
      <c r="L98">
        <v>0.57518999999999998</v>
      </c>
      <c r="M98">
        <v>3.9300000000000001E-4</v>
      </c>
      <c r="N98">
        <v>255.78120999999999</v>
      </c>
    </row>
    <row r="99" spans="1:14" x14ac:dyDescent="0.2">
      <c r="A99">
        <v>10</v>
      </c>
      <c r="B99">
        <v>20</v>
      </c>
      <c r="C99">
        <v>7</v>
      </c>
      <c r="D99">
        <v>11</v>
      </c>
      <c r="E99">
        <v>9.9999999999999995E-7</v>
      </c>
      <c r="F99">
        <v>1.2019420000000001</v>
      </c>
      <c r="G99">
        <v>1.2029030000000001</v>
      </c>
      <c r="H99">
        <v>1.1769999999999999E-2</v>
      </c>
      <c r="I99">
        <v>-32.758043999999998</v>
      </c>
      <c r="J99">
        <v>-32.602947999999998</v>
      </c>
      <c r="K99">
        <v>-32.245103</v>
      </c>
      <c r="L99">
        <v>0.57953299999999996</v>
      </c>
      <c r="M99">
        <v>4.3300000000000001E-4</v>
      </c>
      <c r="N99">
        <v>265.29972199999997</v>
      </c>
    </row>
    <row r="100" spans="1:14" x14ac:dyDescent="0.2">
      <c r="A100">
        <v>10</v>
      </c>
      <c r="B100">
        <v>20</v>
      </c>
      <c r="C100">
        <v>8</v>
      </c>
      <c r="D100">
        <v>11</v>
      </c>
      <c r="E100">
        <v>9.9999999999999995E-7</v>
      </c>
      <c r="F100">
        <v>1.4115059999999999</v>
      </c>
      <c r="G100">
        <v>1.438412</v>
      </c>
      <c r="H100">
        <v>1.153E-2</v>
      </c>
      <c r="I100">
        <v>-19.320630999999999</v>
      </c>
      <c r="J100">
        <v>-18.134892000000001</v>
      </c>
      <c r="K100">
        <v>-17.515086</v>
      </c>
      <c r="L100">
        <v>0.59118199999999999</v>
      </c>
      <c r="M100">
        <v>5.22E-4</v>
      </c>
      <c r="N100">
        <v>231.60048699999999</v>
      </c>
    </row>
    <row r="101" spans="1:14" x14ac:dyDescent="0.2">
      <c r="A101">
        <v>10</v>
      </c>
      <c r="B101">
        <v>20</v>
      </c>
      <c r="C101">
        <v>9</v>
      </c>
      <c r="D101">
        <v>11</v>
      </c>
      <c r="E101">
        <v>9.9999999999999995E-7</v>
      </c>
      <c r="F101">
        <v>2.9897719999999999</v>
      </c>
      <c r="G101">
        <v>3.384293</v>
      </c>
      <c r="H101">
        <v>0.10649500000000001</v>
      </c>
      <c r="I101">
        <v>-4.5876510000000001</v>
      </c>
      <c r="J101">
        <v>-3.8285480000000001</v>
      </c>
      <c r="K101">
        <v>-3.4696910000000001</v>
      </c>
      <c r="L101">
        <v>0.613174</v>
      </c>
      <c r="M101">
        <v>8.2799999999999996E-4</v>
      </c>
      <c r="N101">
        <v>219.57924</v>
      </c>
    </row>
    <row r="102" spans="1:14" x14ac:dyDescent="0.2">
      <c r="A102">
        <v>10</v>
      </c>
      <c r="B102">
        <v>20</v>
      </c>
      <c r="C102">
        <v>1</v>
      </c>
      <c r="D102">
        <v>12</v>
      </c>
      <c r="E102">
        <v>9.9999999999999995E-7</v>
      </c>
      <c r="F102">
        <v>0.87147699999999995</v>
      </c>
      <c r="G102">
        <v>0.87100299999999997</v>
      </c>
      <c r="H102">
        <v>0</v>
      </c>
      <c r="I102">
        <v>-122.967271</v>
      </c>
      <c r="J102">
        <v>-122.514708</v>
      </c>
      <c r="K102">
        <v>-122.514708</v>
      </c>
      <c r="L102">
        <v>0.61888200000000004</v>
      </c>
      <c r="M102">
        <v>1.85E-4</v>
      </c>
      <c r="N102">
        <v>267.78202700000003</v>
      </c>
    </row>
    <row r="103" spans="1:14" x14ac:dyDescent="0.2">
      <c r="A103">
        <v>10</v>
      </c>
      <c r="B103">
        <v>20</v>
      </c>
      <c r="C103">
        <v>2</v>
      </c>
      <c r="D103">
        <v>12</v>
      </c>
      <c r="E103">
        <v>9.9999999999999995E-7</v>
      </c>
      <c r="F103">
        <v>0.91738299999999995</v>
      </c>
      <c r="G103">
        <v>0.91718200000000005</v>
      </c>
      <c r="H103">
        <v>2.1800000000000001E-4</v>
      </c>
      <c r="I103">
        <v>-107.395168</v>
      </c>
      <c r="J103">
        <v>-107.134833</v>
      </c>
      <c r="K103">
        <v>-107.134833</v>
      </c>
      <c r="L103">
        <v>0.59564700000000004</v>
      </c>
      <c r="M103">
        <v>2.04E-4</v>
      </c>
      <c r="N103">
        <v>340.06647700000002</v>
      </c>
    </row>
    <row r="104" spans="1:14" x14ac:dyDescent="0.2">
      <c r="A104">
        <v>10</v>
      </c>
      <c r="B104">
        <v>20</v>
      </c>
      <c r="C104">
        <v>3</v>
      </c>
      <c r="D104">
        <v>12</v>
      </c>
      <c r="E104">
        <v>9.9999999999999995E-7</v>
      </c>
      <c r="F104">
        <v>0.94830499999999995</v>
      </c>
      <c r="G104">
        <v>0.94753699999999996</v>
      </c>
      <c r="H104">
        <v>1.6699999999999999E-4</v>
      </c>
      <c r="I104">
        <v>-93.200310999999999</v>
      </c>
      <c r="J104">
        <v>-91.836727999999994</v>
      </c>
      <c r="K104">
        <v>-91.836727999999994</v>
      </c>
      <c r="L104">
        <v>0.57712600000000003</v>
      </c>
      <c r="M104">
        <v>2.04E-4</v>
      </c>
      <c r="N104">
        <v>339.50571100000002</v>
      </c>
    </row>
    <row r="105" spans="1:14" x14ac:dyDescent="0.2">
      <c r="A105">
        <v>10</v>
      </c>
      <c r="B105">
        <v>20</v>
      </c>
      <c r="C105">
        <v>4</v>
      </c>
      <c r="D105">
        <v>12</v>
      </c>
      <c r="E105">
        <v>9.9999999999999995E-7</v>
      </c>
      <c r="F105">
        <v>0.97540400000000005</v>
      </c>
      <c r="G105">
        <v>0.97470199999999996</v>
      </c>
      <c r="H105">
        <v>3.9100000000000002E-4</v>
      </c>
      <c r="I105">
        <v>-78.925151999999997</v>
      </c>
      <c r="J105">
        <v>-76.734189999999998</v>
      </c>
      <c r="K105">
        <v>-76.734189999999998</v>
      </c>
      <c r="L105">
        <v>0.68060900000000002</v>
      </c>
      <c r="M105">
        <v>3.19E-4</v>
      </c>
      <c r="N105">
        <v>363.29227100000003</v>
      </c>
    </row>
    <row r="106" spans="1:14" x14ac:dyDescent="0.2">
      <c r="A106">
        <v>10</v>
      </c>
      <c r="B106">
        <v>20</v>
      </c>
      <c r="C106">
        <v>5</v>
      </c>
      <c r="D106">
        <v>12</v>
      </c>
      <c r="E106">
        <v>9.9999999999999995E-7</v>
      </c>
      <c r="F106">
        <v>1.0045489999999999</v>
      </c>
      <c r="G106">
        <v>1.0046900000000001</v>
      </c>
      <c r="H106">
        <v>1.3780000000000001E-3</v>
      </c>
      <c r="I106">
        <v>-63.798043999999997</v>
      </c>
      <c r="J106">
        <v>-61.887137000000003</v>
      </c>
      <c r="K106">
        <v>-61.887137000000003</v>
      </c>
      <c r="L106">
        <v>0.24986</v>
      </c>
      <c r="M106">
        <v>3.0499999999999999E-4</v>
      </c>
      <c r="N106">
        <v>280.11011400000001</v>
      </c>
    </row>
    <row r="107" spans="1:14" x14ac:dyDescent="0.2">
      <c r="A107">
        <v>10</v>
      </c>
      <c r="B107">
        <v>20</v>
      </c>
      <c r="C107">
        <v>6</v>
      </c>
      <c r="D107">
        <v>12</v>
      </c>
      <c r="E107">
        <v>9.9999999999999995E-7</v>
      </c>
      <c r="F107">
        <v>1.04271</v>
      </c>
      <c r="G107">
        <v>1.0445960000000001</v>
      </c>
      <c r="H107">
        <v>7.5839999999999996E-3</v>
      </c>
      <c r="I107">
        <v>-49.483193999999997</v>
      </c>
      <c r="J107">
        <v>-47.391067999999997</v>
      </c>
      <c r="K107">
        <v>-47.479913000000003</v>
      </c>
      <c r="L107">
        <v>0.277397</v>
      </c>
      <c r="M107">
        <v>3.7399999999999998E-4</v>
      </c>
      <c r="N107">
        <v>278.466183</v>
      </c>
    </row>
    <row r="108" spans="1:14" x14ac:dyDescent="0.2">
      <c r="A108">
        <v>10</v>
      </c>
      <c r="B108">
        <v>20</v>
      </c>
      <c r="C108">
        <v>7</v>
      </c>
      <c r="D108">
        <v>12</v>
      </c>
      <c r="E108">
        <v>9.9999999999999995E-7</v>
      </c>
      <c r="F108">
        <v>1.1034459999999999</v>
      </c>
      <c r="G108">
        <v>1.1102110000000001</v>
      </c>
      <c r="H108">
        <v>1.1155999999999999E-2</v>
      </c>
      <c r="I108">
        <v>-35.331893999999998</v>
      </c>
      <c r="J108">
        <v>-33.163156999999998</v>
      </c>
      <c r="K108">
        <v>-33.163156999999998</v>
      </c>
      <c r="L108">
        <v>0.24044299999999999</v>
      </c>
      <c r="M108">
        <v>3.7399999999999998E-4</v>
      </c>
      <c r="N108">
        <v>270.71098999999998</v>
      </c>
    </row>
    <row r="109" spans="1:14" x14ac:dyDescent="0.2">
      <c r="A109">
        <v>10</v>
      </c>
      <c r="B109">
        <v>20</v>
      </c>
      <c r="C109">
        <v>8</v>
      </c>
      <c r="D109">
        <v>12</v>
      </c>
      <c r="E109">
        <v>9.9999999999999995E-7</v>
      </c>
      <c r="F109">
        <v>1.235117</v>
      </c>
      <c r="G109">
        <v>1.258542</v>
      </c>
      <c r="H109">
        <v>2.8111000000000001E-2</v>
      </c>
      <c r="I109">
        <v>-21.224540000000001</v>
      </c>
      <c r="J109">
        <v>-19.301508999999999</v>
      </c>
      <c r="K109">
        <v>-19.301508999999999</v>
      </c>
      <c r="L109">
        <v>0.59687999999999997</v>
      </c>
      <c r="M109">
        <v>4.66E-4</v>
      </c>
      <c r="N109">
        <v>192.34353300000001</v>
      </c>
    </row>
    <row r="110" spans="1:14" x14ac:dyDescent="0.2">
      <c r="A110">
        <v>10</v>
      </c>
      <c r="B110">
        <v>20</v>
      </c>
      <c r="C110">
        <v>9</v>
      </c>
      <c r="D110">
        <v>12</v>
      </c>
      <c r="E110">
        <v>9.9999999999999995E-7</v>
      </c>
      <c r="F110">
        <v>1.751436</v>
      </c>
      <c r="G110">
        <v>1.9673769999999999</v>
      </c>
      <c r="H110">
        <v>0.18188099999999999</v>
      </c>
      <c r="I110">
        <v>-8.2083870000000001</v>
      </c>
      <c r="J110">
        <v>-6.3760909999999997</v>
      </c>
      <c r="K110">
        <v>-6.5437919999999998</v>
      </c>
      <c r="L110">
        <v>0.61865499999999995</v>
      </c>
      <c r="M110">
        <v>5.9100000000000005E-4</v>
      </c>
      <c r="N110">
        <v>251.019261</v>
      </c>
    </row>
    <row r="111" spans="1:14" x14ac:dyDescent="0.2">
      <c r="A111">
        <v>10</v>
      </c>
      <c r="B111">
        <v>20</v>
      </c>
      <c r="C111">
        <v>1</v>
      </c>
      <c r="D111">
        <v>13</v>
      </c>
      <c r="E111">
        <v>9.9999999999999995E-7</v>
      </c>
      <c r="F111">
        <v>0.91367299999999996</v>
      </c>
      <c r="G111">
        <v>0.91315500000000005</v>
      </c>
      <c r="H111">
        <v>0</v>
      </c>
      <c r="I111">
        <v>-123.03776000000001</v>
      </c>
      <c r="J111">
        <v>-122.303577</v>
      </c>
      <c r="K111">
        <v>-122.303577</v>
      </c>
      <c r="L111">
        <v>0.62946400000000002</v>
      </c>
      <c r="M111">
        <v>7.6000000000000004E-5</v>
      </c>
      <c r="N111">
        <v>245.04658900000001</v>
      </c>
    </row>
    <row r="112" spans="1:14" x14ac:dyDescent="0.2">
      <c r="A112">
        <v>10</v>
      </c>
      <c r="B112">
        <v>20</v>
      </c>
      <c r="C112">
        <v>2</v>
      </c>
      <c r="D112">
        <v>13</v>
      </c>
      <c r="E112">
        <v>9.9999999999999995E-7</v>
      </c>
      <c r="F112">
        <v>0.96584000000000003</v>
      </c>
      <c r="G112">
        <v>0.96540199999999998</v>
      </c>
      <c r="H112">
        <v>3.0000000000000001E-5</v>
      </c>
      <c r="I112">
        <v>-108.02119500000001</v>
      </c>
      <c r="J112">
        <v>-106.655235</v>
      </c>
      <c r="K112">
        <v>-106.655235</v>
      </c>
      <c r="L112">
        <v>0.20417299999999999</v>
      </c>
      <c r="M112">
        <v>1.45E-4</v>
      </c>
      <c r="N112">
        <v>293.02588100000003</v>
      </c>
    </row>
    <row r="113" spans="1:14" x14ac:dyDescent="0.2">
      <c r="A113">
        <v>10</v>
      </c>
      <c r="B113">
        <v>20</v>
      </c>
      <c r="C113">
        <v>3</v>
      </c>
      <c r="D113">
        <v>13</v>
      </c>
      <c r="E113">
        <v>9.9999999999999995E-7</v>
      </c>
      <c r="F113">
        <v>1.0039560000000001</v>
      </c>
      <c r="G113">
        <v>1.0040039999999999</v>
      </c>
      <c r="H113">
        <v>1.2300000000000001E-4</v>
      </c>
      <c r="I113">
        <v>-92.179632999999995</v>
      </c>
      <c r="J113">
        <v>-91.070311000000004</v>
      </c>
      <c r="K113">
        <v>-91.070311000000004</v>
      </c>
      <c r="L113">
        <v>0.320934</v>
      </c>
      <c r="M113">
        <v>1.9900000000000001E-4</v>
      </c>
      <c r="N113">
        <v>329.62239699999998</v>
      </c>
    </row>
    <row r="114" spans="1:14" x14ac:dyDescent="0.2">
      <c r="A114">
        <v>10</v>
      </c>
      <c r="B114">
        <v>20</v>
      </c>
      <c r="C114">
        <v>4</v>
      </c>
      <c r="D114">
        <v>13</v>
      </c>
      <c r="E114">
        <v>9.9999999999999995E-7</v>
      </c>
      <c r="F114">
        <v>1.0422929999999999</v>
      </c>
      <c r="G114">
        <v>1.042862</v>
      </c>
      <c r="H114">
        <v>1.075E-3</v>
      </c>
      <c r="I114">
        <v>-76.642038999999997</v>
      </c>
      <c r="J114">
        <v>-75.625995000000003</v>
      </c>
      <c r="K114">
        <v>-75.625995000000003</v>
      </c>
      <c r="L114">
        <v>0.35153299999999998</v>
      </c>
      <c r="M114">
        <v>2.5599999999999999E-4</v>
      </c>
      <c r="N114">
        <v>358.46911299999999</v>
      </c>
    </row>
    <row r="115" spans="1:14" x14ac:dyDescent="0.2">
      <c r="A115">
        <v>10</v>
      </c>
      <c r="B115">
        <v>20</v>
      </c>
      <c r="C115">
        <v>5</v>
      </c>
      <c r="D115">
        <v>13</v>
      </c>
      <c r="E115">
        <v>9.9999999999999995E-7</v>
      </c>
      <c r="F115">
        <v>1.089019</v>
      </c>
      <c r="G115">
        <v>1.090349</v>
      </c>
      <c r="H115">
        <v>5.4359999999999999E-3</v>
      </c>
      <c r="I115">
        <v>-61.480305999999999</v>
      </c>
      <c r="J115">
        <v>-60.574987</v>
      </c>
      <c r="K115">
        <v>-60.665174</v>
      </c>
      <c r="L115">
        <v>0.63369799999999998</v>
      </c>
      <c r="M115">
        <v>4.1399999999999998E-4</v>
      </c>
      <c r="N115">
        <v>328.556802</v>
      </c>
    </row>
    <row r="116" spans="1:14" x14ac:dyDescent="0.2">
      <c r="A116">
        <v>10</v>
      </c>
      <c r="B116">
        <v>20</v>
      </c>
      <c r="C116">
        <v>6</v>
      </c>
      <c r="D116">
        <v>13</v>
      </c>
      <c r="E116">
        <v>9.9999999999999995E-7</v>
      </c>
      <c r="F116">
        <v>1.1568240000000001</v>
      </c>
      <c r="G116">
        <v>1.1595089999999999</v>
      </c>
      <c r="H116">
        <v>1.0005E-2</v>
      </c>
      <c r="I116">
        <v>-46.524062999999998</v>
      </c>
      <c r="J116">
        <v>-45.741095999999999</v>
      </c>
      <c r="K116">
        <v>-45.791403000000003</v>
      </c>
      <c r="L116">
        <v>0.594974</v>
      </c>
      <c r="M116">
        <v>4.2900000000000002E-4</v>
      </c>
      <c r="N116">
        <v>281.61212499999999</v>
      </c>
    </row>
    <row r="117" spans="1:14" x14ac:dyDescent="0.2">
      <c r="A117">
        <v>10</v>
      </c>
      <c r="B117">
        <v>20</v>
      </c>
      <c r="C117">
        <v>7</v>
      </c>
      <c r="D117">
        <v>13</v>
      </c>
      <c r="E117">
        <v>9.9999999999999995E-7</v>
      </c>
      <c r="F117">
        <v>1.283792</v>
      </c>
      <c r="G117">
        <v>1.283841</v>
      </c>
      <c r="H117">
        <v>2.7956999999999999E-2</v>
      </c>
      <c r="I117">
        <v>-31.141175</v>
      </c>
      <c r="J117">
        <v>-31.135732000000001</v>
      </c>
      <c r="K117">
        <v>-31.321944999999999</v>
      </c>
      <c r="L117">
        <v>0.57663699999999996</v>
      </c>
      <c r="M117">
        <v>4.8799999999999999E-4</v>
      </c>
      <c r="N117">
        <v>286.66968900000001</v>
      </c>
    </row>
    <row r="118" spans="1:14" x14ac:dyDescent="0.2">
      <c r="A118">
        <v>10</v>
      </c>
      <c r="B118">
        <v>20</v>
      </c>
      <c r="C118">
        <v>8</v>
      </c>
      <c r="D118">
        <v>13</v>
      </c>
      <c r="E118">
        <v>9.9999999999999995E-7</v>
      </c>
      <c r="F118">
        <v>1.613167</v>
      </c>
      <c r="G118">
        <v>1.613167</v>
      </c>
      <c r="H118">
        <v>8.2163E-2</v>
      </c>
      <c r="I118">
        <v>-16.590793000000001</v>
      </c>
      <c r="J118">
        <v>-16.590793000000001</v>
      </c>
      <c r="K118">
        <v>-17.208566000000001</v>
      </c>
      <c r="L118">
        <v>0.68410099999999996</v>
      </c>
      <c r="M118">
        <v>6.3699999999999998E-4</v>
      </c>
      <c r="N118">
        <v>239.297237</v>
      </c>
    </row>
    <row r="119" spans="1:14" x14ac:dyDescent="0.2">
      <c r="A119">
        <v>10</v>
      </c>
      <c r="B119">
        <v>20</v>
      </c>
      <c r="C119">
        <v>9</v>
      </c>
      <c r="D119">
        <v>13</v>
      </c>
      <c r="E119">
        <v>9.9999999999999995E-7</v>
      </c>
      <c r="F119">
        <v>5.4766550000000001</v>
      </c>
      <c r="G119">
        <v>5.7933830000000004</v>
      </c>
      <c r="H119">
        <v>0.463117</v>
      </c>
      <c r="I119">
        <v>-2.5355430000000001</v>
      </c>
      <c r="J119">
        <v>-2.3680050000000001</v>
      </c>
      <c r="K119">
        <v>-2.719004</v>
      </c>
      <c r="L119">
        <v>0.27998200000000001</v>
      </c>
      <c r="M119">
        <v>6.02E-4</v>
      </c>
      <c r="N119">
        <v>238.046516</v>
      </c>
    </row>
    <row r="120" spans="1:14" x14ac:dyDescent="0.2">
      <c r="A120">
        <v>10</v>
      </c>
      <c r="B120">
        <v>20</v>
      </c>
      <c r="C120">
        <v>1</v>
      </c>
      <c r="D120">
        <v>15</v>
      </c>
      <c r="E120">
        <v>9.9999999999999995E-7</v>
      </c>
      <c r="F120">
        <v>0.90408299999999997</v>
      </c>
      <c r="G120">
        <v>0.90326600000000001</v>
      </c>
      <c r="H120">
        <v>0</v>
      </c>
      <c r="I120">
        <v>-123.430958</v>
      </c>
      <c r="J120">
        <v>-122.388288</v>
      </c>
      <c r="K120">
        <v>-122.388288</v>
      </c>
      <c r="L120">
        <v>1.0907530000000001</v>
      </c>
      <c r="M120">
        <v>5.0470000000000003E-3</v>
      </c>
      <c r="N120">
        <v>353.95207499999998</v>
      </c>
    </row>
    <row r="121" spans="1:14" x14ac:dyDescent="0.2">
      <c r="A121">
        <v>10</v>
      </c>
      <c r="B121">
        <v>20</v>
      </c>
      <c r="C121">
        <v>2</v>
      </c>
      <c r="D121">
        <v>15</v>
      </c>
      <c r="E121">
        <v>9.9999999999999995E-7</v>
      </c>
      <c r="F121">
        <v>0.954488</v>
      </c>
      <c r="G121">
        <v>0.95403000000000004</v>
      </c>
      <c r="H121">
        <v>3.9500000000000001E-4</v>
      </c>
      <c r="I121">
        <v>-107.832965</v>
      </c>
      <c r="J121">
        <v>-106.758653</v>
      </c>
      <c r="K121">
        <v>-106.76684299999999</v>
      </c>
      <c r="L121">
        <v>0.66091999999999995</v>
      </c>
      <c r="M121">
        <v>1.7730000000000001E-3</v>
      </c>
      <c r="N121">
        <v>349.88351799999998</v>
      </c>
    </row>
    <row r="122" spans="1:14" x14ac:dyDescent="0.2">
      <c r="A122">
        <v>10</v>
      </c>
      <c r="B122">
        <v>20</v>
      </c>
      <c r="C122">
        <v>3</v>
      </c>
      <c r="D122">
        <v>15</v>
      </c>
      <c r="E122">
        <v>9.9999999999999995E-7</v>
      </c>
      <c r="F122">
        <v>0.99080199999999996</v>
      </c>
      <c r="G122">
        <v>0.99065400000000003</v>
      </c>
      <c r="H122">
        <v>2.0609999999999999E-3</v>
      </c>
      <c r="I122">
        <v>-92.738718000000006</v>
      </c>
      <c r="J122">
        <v>-91.268626999999995</v>
      </c>
      <c r="K122">
        <v>-91.268626999999995</v>
      </c>
      <c r="L122">
        <v>0.92904100000000001</v>
      </c>
      <c r="M122">
        <v>4.3039999999999997E-3</v>
      </c>
      <c r="N122">
        <v>322.99430999999998</v>
      </c>
    </row>
    <row r="123" spans="1:14" x14ac:dyDescent="0.2">
      <c r="A123">
        <v>10</v>
      </c>
      <c r="B123">
        <v>20</v>
      </c>
      <c r="C123">
        <v>4</v>
      </c>
      <c r="D123">
        <v>15</v>
      </c>
      <c r="E123">
        <v>9.9999999999999995E-7</v>
      </c>
      <c r="F123">
        <v>1.0260499999999999</v>
      </c>
      <c r="G123">
        <v>1.0266310000000001</v>
      </c>
      <c r="H123">
        <v>3.3769999999999998E-3</v>
      </c>
      <c r="I123">
        <v>-77.689441000000002</v>
      </c>
      <c r="J123">
        <v>-75.993467999999993</v>
      </c>
      <c r="K123">
        <v>-75.993467999999993</v>
      </c>
      <c r="L123">
        <v>0.56952599999999998</v>
      </c>
      <c r="M123">
        <v>3.4499999999999998E-4</v>
      </c>
      <c r="N123">
        <v>326.95685300000002</v>
      </c>
    </row>
    <row r="124" spans="1:14" x14ac:dyDescent="0.2">
      <c r="A124">
        <v>10</v>
      </c>
      <c r="B124">
        <v>20</v>
      </c>
      <c r="C124">
        <v>5</v>
      </c>
      <c r="D124">
        <v>15</v>
      </c>
      <c r="E124">
        <v>9.9999999999999995E-7</v>
      </c>
      <c r="F124">
        <v>1.0676890000000001</v>
      </c>
      <c r="G124">
        <v>1.0700510000000001</v>
      </c>
      <c r="H124">
        <v>3.5460000000000001E-3</v>
      </c>
      <c r="I124">
        <v>-62.864348999999997</v>
      </c>
      <c r="J124">
        <v>-60.744669000000002</v>
      </c>
      <c r="K124">
        <v>-60.744669000000002</v>
      </c>
      <c r="L124">
        <v>0.58520899999999998</v>
      </c>
      <c r="M124">
        <v>7.4700000000000005E-4</v>
      </c>
      <c r="N124">
        <v>287.85007999999999</v>
      </c>
    </row>
    <row r="125" spans="1:14" x14ac:dyDescent="0.2">
      <c r="A125">
        <v>10</v>
      </c>
      <c r="B125">
        <v>20</v>
      </c>
      <c r="C125">
        <v>6</v>
      </c>
      <c r="D125">
        <v>15</v>
      </c>
      <c r="E125">
        <v>9.9999999999999995E-7</v>
      </c>
      <c r="F125">
        <v>1.127937</v>
      </c>
      <c r="G125">
        <v>1.1322030000000001</v>
      </c>
      <c r="H125">
        <v>3.4741000000000001E-2</v>
      </c>
      <c r="I125">
        <v>-47.510993999999997</v>
      </c>
      <c r="J125">
        <v>-45.978048999999999</v>
      </c>
      <c r="K125">
        <v>-47.133161999999999</v>
      </c>
      <c r="L125">
        <v>0.56106</v>
      </c>
      <c r="M125">
        <v>5.6300000000000002E-4</v>
      </c>
      <c r="N125">
        <v>261.13108799999998</v>
      </c>
    </row>
    <row r="126" spans="1:14" x14ac:dyDescent="0.2">
      <c r="A126">
        <v>10</v>
      </c>
      <c r="B126">
        <v>20</v>
      </c>
      <c r="C126">
        <v>7</v>
      </c>
      <c r="D126">
        <v>15</v>
      </c>
      <c r="E126">
        <v>9.9999999999999995E-7</v>
      </c>
      <c r="F126">
        <v>1.235557</v>
      </c>
      <c r="G126">
        <v>1.242041</v>
      </c>
      <c r="H126">
        <v>3.3714000000000001E-2</v>
      </c>
      <c r="I126">
        <v>-32.348585999999997</v>
      </c>
      <c r="J126">
        <v>-31.482036000000001</v>
      </c>
      <c r="K126">
        <v>-31.823948999999999</v>
      </c>
      <c r="L126">
        <v>0.55328500000000003</v>
      </c>
      <c r="M126">
        <v>4.6700000000000002E-4</v>
      </c>
      <c r="N126">
        <v>235.122635</v>
      </c>
    </row>
    <row r="127" spans="1:14" x14ac:dyDescent="0.2">
      <c r="A127">
        <v>10</v>
      </c>
      <c r="B127">
        <v>20</v>
      </c>
      <c r="C127">
        <v>8</v>
      </c>
      <c r="D127">
        <v>15</v>
      </c>
      <c r="E127">
        <v>9.9999999999999995E-7</v>
      </c>
      <c r="F127">
        <v>1.4708410000000001</v>
      </c>
      <c r="G127">
        <v>1.521725</v>
      </c>
      <c r="H127">
        <v>7.9626000000000002E-2</v>
      </c>
      <c r="I127">
        <v>-19.019705999999999</v>
      </c>
      <c r="J127">
        <v>-17.164708999999998</v>
      </c>
      <c r="K127">
        <v>-17.694271000000001</v>
      </c>
      <c r="L127">
        <v>0.56420800000000004</v>
      </c>
      <c r="M127">
        <v>6.3900000000000003E-4</v>
      </c>
      <c r="N127">
        <v>226.54721900000001</v>
      </c>
    </row>
    <row r="128" spans="1:14" x14ac:dyDescent="0.2">
      <c r="A128">
        <v>10</v>
      </c>
      <c r="B128">
        <v>20</v>
      </c>
      <c r="C128">
        <v>9</v>
      </c>
      <c r="D128">
        <v>15</v>
      </c>
      <c r="E128">
        <v>9.9999999999999995E-7</v>
      </c>
      <c r="F128">
        <v>3.0484040000000001</v>
      </c>
      <c r="G128">
        <v>4.0988790000000002</v>
      </c>
      <c r="H128">
        <v>0.60574300000000003</v>
      </c>
      <c r="I128">
        <v>-4.9468170000000002</v>
      </c>
      <c r="J128">
        <v>-3.2699180000000001</v>
      </c>
      <c r="K128">
        <v>-5.4861570000000004</v>
      </c>
      <c r="L128">
        <v>0.554203</v>
      </c>
      <c r="M128">
        <v>5.9400000000000002E-4</v>
      </c>
      <c r="N128">
        <v>227.635223</v>
      </c>
    </row>
    <row r="129" spans="1:14" x14ac:dyDescent="0.2">
      <c r="A129">
        <v>10</v>
      </c>
      <c r="B129">
        <v>20</v>
      </c>
      <c r="C129">
        <v>1</v>
      </c>
      <c r="D129">
        <v>16</v>
      </c>
      <c r="E129">
        <v>9.9999999999999995E-7</v>
      </c>
      <c r="F129">
        <v>0.88837500000000003</v>
      </c>
      <c r="G129">
        <v>0.88837500000000003</v>
      </c>
      <c r="H129">
        <v>0</v>
      </c>
      <c r="I129">
        <v>-122.321512</v>
      </c>
      <c r="J129">
        <v>-122.321512</v>
      </c>
      <c r="K129">
        <v>-122.321512</v>
      </c>
      <c r="L129">
        <v>0.57539099999999999</v>
      </c>
      <c r="M129">
        <v>4.0299999999999998E-4</v>
      </c>
      <c r="N129">
        <v>289.62086299999999</v>
      </c>
    </row>
    <row r="130" spans="1:14" x14ac:dyDescent="0.2">
      <c r="A130">
        <v>10</v>
      </c>
      <c r="B130">
        <v>20</v>
      </c>
      <c r="C130">
        <v>2</v>
      </c>
      <c r="D130">
        <v>16</v>
      </c>
      <c r="E130">
        <v>9.9999999999999995E-7</v>
      </c>
      <c r="F130">
        <v>0.93728900000000004</v>
      </c>
      <c r="G130">
        <v>0.937137</v>
      </c>
      <c r="H130">
        <v>1.35E-4</v>
      </c>
      <c r="I130">
        <v>-107.200756</v>
      </c>
      <c r="J130">
        <v>-106.940786</v>
      </c>
      <c r="K130">
        <v>-106.940786</v>
      </c>
      <c r="L130">
        <v>0.84887500000000005</v>
      </c>
      <c r="M130">
        <v>2.4600000000000002E-4</v>
      </c>
      <c r="N130">
        <v>312.053022</v>
      </c>
    </row>
    <row r="131" spans="1:14" x14ac:dyDescent="0.2">
      <c r="A131">
        <v>10</v>
      </c>
      <c r="B131">
        <v>20</v>
      </c>
      <c r="C131">
        <v>3</v>
      </c>
      <c r="D131">
        <v>16</v>
      </c>
      <c r="E131">
        <v>9.9999999999999995E-7</v>
      </c>
      <c r="F131">
        <v>0.97107900000000003</v>
      </c>
      <c r="G131">
        <v>0.97089099999999995</v>
      </c>
      <c r="H131">
        <v>2.5000000000000001E-5</v>
      </c>
      <c r="I131">
        <v>-92.252600999999999</v>
      </c>
      <c r="J131">
        <v>-91.655989000000005</v>
      </c>
      <c r="K131">
        <v>-91.655989000000005</v>
      </c>
      <c r="L131">
        <v>0.57164300000000001</v>
      </c>
      <c r="M131">
        <v>2.33E-4</v>
      </c>
      <c r="N131">
        <v>280.63290799999999</v>
      </c>
    </row>
    <row r="132" spans="1:14" x14ac:dyDescent="0.2">
      <c r="A132">
        <v>10</v>
      </c>
      <c r="B132">
        <v>20</v>
      </c>
      <c r="C132">
        <v>4</v>
      </c>
      <c r="D132">
        <v>16</v>
      </c>
      <c r="E132">
        <v>9.9999999999999995E-7</v>
      </c>
      <c r="F132">
        <v>1.0026930000000001</v>
      </c>
      <c r="G132">
        <v>1.0027200000000001</v>
      </c>
      <c r="H132">
        <v>1.9449999999999999E-3</v>
      </c>
      <c r="I132">
        <v>-77.528253000000007</v>
      </c>
      <c r="J132">
        <v>-76.754452000000001</v>
      </c>
      <c r="K132">
        <v>-76.755527000000001</v>
      </c>
      <c r="L132">
        <v>0.55083499999999996</v>
      </c>
      <c r="M132">
        <v>4.08E-4</v>
      </c>
      <c r="N132">
        <v>266.40344900000002</v>
      </c>
    </row>
    <row r="133" spans="1:14" x14ac:dyDescent="0.2">
      <c r="A133">
        <v>10</v>
      </c>
      <c r="B133">
        <v>20</v>
      </c>
      <c r="C133">
        <v>5</v>
      </c>
      <c r="D133">
        <v>16</v>
      </c>
      <c r="E133">
        <v>9.9999999999999995E-7</v>
      </c>
      <c r="F133">
        <v>1.0391060000000001</v>
      </c>
      <c r="G133">
        <v>1.039399</v>
      </c>
      <c r="H133">
        <v>4.9410000000000001E-3</v>
      </c>
      <c r="I133">
        <v>-62.400010999999999</v>
      </c>
      <c r="J133">
        <v>-61.936391</v>
      </c>
      <c r="K133">
        <v>-61.956156999999997</v>
      </c>
      <c r="L133">
        <v>0.55940100000000004</v>
      </c>
      <c r="M133">
        <v>3.1500000000000001E-4</v>
      </c>
      <c r="N133">
        <v>288.10064799999998</v>
      </c>
    </row>
    <row r="134" spans="1:14" x14ac:dyDescent="0.2">
      <c r="A134">
        <v>10</v>
      </c>
      <c r="B134">
        <v>20</v>
      </c>
      <c r="C134">
        <v>6</v>
      </c>
      <c r="D134">
        <v>16</v>
      </c>
      <c r="E134">
        <v>9.9999999999999995E-7</v>
      </c>
      <c r="F134">
        <v>1.088951</v>
      </c>
      <c r="G134">
        <v>1.090247</v>
      </c>
      <c r="H134">
        <v>8.6409999999999994E-3</v>
      </c>
      <c r="I134">
        <v>-47.930047000000002</v>
      </c>
      <c r="J134">
        <v>-47.241909999999997</v>
      </c>
      <c r="K134">
        <v>-47.295965000000002</v>
      </c>
      <c r="L134">
        <v>0.56778200000000001</v>
      </c>
      <c r="M134">
        <v>9.0300000000000005E-4</v>
      </c>
      <c r="N134">
        <v>254.457471</v>
      </c>
    </row>
    <row r="135" spans="1:14" x14ac:dyDescent="0.2">
      <c r="A135">
        <v>10</v>
      </c>
      <c r="B135">
        <v>20</v>
      </c>
      <c r="C135">
        <v>7</v>
      </c>
      <c r="D135">
        <v>16</v>
      </c>
      <c r="E135">
        <v>9.9999999999999995E-7</v>
      </c>
      <c r="F135">
        <v>1.175378</v>
      </c>
      <c r="G135">
        <v>1.1778310000000001</v>
      </c>
      <c r="H135">
        <v>1.4231000000000001E-2</v>
      </c>
      <c r="I135">
        <v>-33.099708999999997</v>
      </c>
      <c r="J135">
        <v>-32.643014999999998</v>
      </c>
      <c r="K135">
        <v>-32.718286999999997</v>
      </c>
      <c r="L135">
        <v>0.57625499999999996</v>
      </c>
      <c r="M135">
        <v>4.35E-4</v>
      </c>
      <c r="N135">
        <v>221.10984300000001</v>
      </c>
    </row>
    <row r="136" spans="1:14" x14ac:dyDescent="0.2">
      <c r="A136">
        <v>10</v>
      </c>
      <c r="B136">
        <v>20</v>
      </c>
      <c r="C136">
        <v>8</v>
      </c>
      <c r="D136">
        <v>16</v>
      </c>
      <c r="E136">
        <v>9.9999999999999995E-7</v>
      </c>
      <c r="F136">
        <v>1.373974</v>
      </c>
      <c r="G136">
        <v>1.386231</v>
      </c>
      <c r="H136">
        <v>3.4786999999999998E-2</v>
      </c>
      <c r="I136">
        <v>-19.092945</v>
      </c>
      <c r="J136">
        <v>-18.487030000000001</v>
      </c>
      <c r="K136">
        <v>-18.487030000000001</v>
      </c>
      <c r="L136">
        <v>0.566527</v>
      </c>
      <c r="M136">
        <v>6.11E-4</v>
      </c>
      <c r="N136">
        <v>232.24028799999999</v>
      </c>
    </row>
    <row r="137" spans="1:14" x14ac:dyDescent="0.2">
      <c r="A137">
        <v>10</v>
      </c>
      <c r="B137">
        <v>20</v>
      </c>
      <c r="C137">
        <v>9</v>
      </c>
      <c r="D137">
        <v>16</v>
      </c>
      <c r="E137">
        <v>9.9999999999999995E-7</v>
      </c>
      <c r="F137">
        <v>2.5136180000000001</v>
      </c>
      <c r="G137">
        <v>2.6958129999999998</v>
      </c>
      <c r="H137">
        <v>0.21620400000000001</v>
      </c>
      <c r="I137">
        <v>-5.4955049999999996</v>
      </c>
      <c r="J137">
        <v>-4.9050789999999997</v>
      </c>
      <c r="K137">
        <v>-5.0644289999999996</v>
      </c>
      <c r="L137">
        <v>0.56075600000000003</v>
      </c>
      <c r="M137">
        <v>5.4799999999999998E-4</v>
      </c>
      <c r="N137">
        <v>220.75475700000001</v>
      </c>
    </row>
    <row r="138" spans="1:14" x14ac:dyDescent="0.2">
      <c r="A138">
        <v>10</v>
      </c>
      <c r="B138">
        <v>20</v>
      </c>
      <c r="C138">
        <v>1</v>
      </c>
      <c r="D138">
        <v>17</v>
      </c>
      <c r="E138">
        <v>9.9999999999999995E-7</v>
      </c>
      <c r="F138">
        <v>0.89571900000000004</v>
      </c>
      <c r="G138">
        <v>0.89571900000000004</v>
      </c>
      <c r="H138">
        <v>0</v>
      </c>
      <c r="I138">
        <v>-122.405845</v>
      </c>
      <c r="J138">
        <v>-122.405845</v>
      </c>
      <c r="K138">
        <v>-122.405845</v>
      </c>
      <c r="L138">
        <v>0.56989500000000004</v>
      </c>
      <c r="M138">
        <v>8.2999999999999998E-5</v>
      </c>
      <c r="N138">
        <v>290.44677799999999</v>
      </c>
    </row>
    <row r="139" spans="1:14" x14ac:dyDescent="0.2">
      <c r="A139">
        <v>10</v>
      </c>
      <c r="B139">
        <v>20</v>
      </c>
      <c r="C139">
        <v>2</v>
      </c>
      <c r="D139">
        <v>17</v>
      </c>
      <c r="E139">
        <v>9.9999999999999995E-7</v>
      </c>
      <c r="F139">
        <v>0.94552499999999995</v>
      </c>
      <c r="G139">
        <v>0.94552499999999995</v>
      </c>
      <c r="H139">
        <v>5.5500000000000005E-4</v>
      </c>
      <c r="I139">
        <v>-107.079289</v>
      </c>
      <c r="J139">
        <v>-107.078923</v>
      </c>
      <c r="K139">
        <v>-107.078923</v>
      </c>
      <c r="L139">
        <v>0.56281599999999998</v>
      </c>
      <c r="M139">
        <v>1.6899999999999999E-4</v>
      </c>
      <c r="N139">
        <v>279.258263</v>
      </c>
    </row>
    <row r="140" spans="1:14" x14ac:dyDescent="0.2">
      <c r="A140">
        <v>10</v>
      </c>
      <c r="B140">
        <v>20</v>
      </c>
      <c r="C140">
        <v>3</v>
      </c>
      <c r="D140">
        <v>17</v>
      </c>
      <c r="E140">
        <v>9.9999999999999995E-7</v>
      </c>
      <c r="F140">
        <v>0.98075100000000004</v>
      </c>
      <c r="G140">
        <v>0.98063400000000001</v>
      </c>
      <c r="H140">
        <v>1.474E-3</v>
      </c>
      <c r="I140">
        <v>-92.394906000000006</v>
      </c>
      <c r="J140">
        <v>-91.838279</v>
      </c>
      <c r="K140">
        <v>-91.838279</v>
      </c>
      <c r="L140">
        <v>0.57401199999999997</v>
      </c>
      <c r="M140">
        <v>1.92E-4</v>
      </c>
      <c r="N140">
        <v>251.997454</v>
      </c>
    </row>
    <row r="141" spans="1:14" x14ac:dyDescent="0.2">
      <c r="A141">
        <v>10</v>
      </c>
      <c r="B141">
        <v>20</v>
      </c>
      <c r="C141">
        <v>4</v>
      </c>
      <c r="D141">
        <v>17</v>
      </c>
      <c r="E141">
        <v>9.9999999999999995E-7</v>
      </c>
      <c r="F141">
        <v>1.014192</v>
      </c>
      <c r="G141">
        <v>1.0143180000000001</v>
      </c>
      <c r="H141">
        <v>1.895E-3</v>
      </c>
      <c r="I141">
        <v>-77.388660999999999</v>
      </c>
      <c r="J141">
        <v>-76.707857000000004</v>
      </c>
      <c r="K141">
        <v>-76.707857000000004</v>
      </c>
      <c r="L141">
        <v>0.56223199999999995</v>
      </c>
      <c r="M141">
        <v>3.39E-4</v>
      </c>
      <c r="N141">
        <v>288.66046399999999</v>
      </c>
    </row>
    <row r="142" spans="1:14" x14ac:dyDescent="0.2">
      <c r="A142">
        <v>10</v>
      </c>
      <c r="B142">
        <v>20</v>
      </c>
      <c r="C142">
        <v>5</v>
      </c>
      <c r="D142">
        <v>17</v>
      </c>
      <c r="E142">
        <v>9.9999999999999995E-7</v>
      </c>
      <c r="F142">
        <v>1.053355</v>
      </c>
      <c r="G142">
        <v>1.0538909999999999</v>
      </c>
      <c r="H142">
        <v>4.0559999999999997E-3</v>
      </c>
      <c r="I142">
        <v>-62.407310000000003</v>
      </c>
      <c r="J142">
        <v>-61.785888</v>
      </c>
      <c r="K142">
        <v>-61.785888</v>
      </c>
      <c r="L142">
        <v>0.56009200000000003</v>
      </c>
      <c r="M142">
        <v>3.01E-4</v>
      </c>
      <c r="N142">
        <v>256.53408100000001</v>
      </c>
    </row>
    <row r="143" spans="1:14" x14ac:dyDescent="0.2">
      <c r="A143">
        <v>10</v>
      </c>
      <c r="B143">
        <v>20</v>
      </c>
      <c r="C143">
        <v>6</v>
      </c>
      <c r="D143">
        <v>17</v>
      </c>
      <c r="E143">
        <v>9.9999999999999995E-7</v>
      </c>
      <c r="F143">
        <v>1.107683</v>
      </c>
      <c r="G143">
        <v>1.1095189999999999</v>
      </c>
      <c r="H143">
        <v>7.9799999999999992E-3</v>
      </c>
      <c r="I143">
        <v>-47.852836000000003</v>
      </c>
      <c r="J143">
        <v>-47.050676000000003</v>
      </c>
      <c r="K143">
        <v>-47.050676000000003</v>
      </c>
      <c r="L143">
        <v>0.56015599999999999</v>
      </c>
      <c r="M143">
        <v>3.8900000000000002E-4</v>
      </c>
      <c r="N143">
        <v>243.921154</v>
      </c>
    </row>
    <row r="144" spans="1:14" x14ac:dyDescent="0.2">
      <c r="A144">
        <v>10</v>
      </c>
      <c r="B144">
        <v>20</v>
      </c>
      <c r="C144">
        <v>7</v>
      </c>
      <c r="D144">
        <v>17</v>
      </c>
      <c r="E144">
        <v>9.9999999999999995E-7</v>
      </c>
      <c r="F144">
        <v>1.2013469999999999</v>
      </c>
      <c r="G144">
        <v>1.20556</v>
      </c>
      <c r="H144">
        <v>2.4074999999999999E-2</v>
      </c>
      <c r="I144">
        <v>-33.248269000000001</v>
      </c>
      <c r="J144">
        <v>-32.566848999999998</v>
      </c>
      <c r="K144">
        <v>-32.699964000000001</v>
      </c>
      <c r="L144">
        <v>0.56748299999999996</v>
      </c>
      <c r="M144">
        <v>6.3000000000000003E-4</v>
      </c>
      <c r="N144">
        <v>242.179507</v>
      </c>
    </row>
    <row r="145" spans="1:14" x14ac:dyDescent="0.2">
      <c r="A145">
        <v>10</v>
      </c>
      <c r="B145">
        <v>20</v>
      </c>
      <c r="C145">
        <v>8</v>
      </c>
      <c r="D145">
        <v>17</v>
      </c>
      <c r="E145">
        <v>9.9999999999999995E-7</v>
      </c>
      <c r="F145">
        <v>1.427419</v>
      </c>
      <c r="G145">
        <v>1.437594</v>
      </c>
      <c r="H145">
        <v>6.8172999999999997E-2</v>
      </c>
      <c r="I145">
        <v>-18.786587000000001</v>
      </c>
      <c r="J145">
        <v>-18.349758000000001</v>
      </c>
      <c r="K145">
        <v>-18.671924000000001</v>
      </c>
      <c r="L145">
        <v>0.56272200000000006</v>
      </c>
      <c r="M145">
        <v>5.2999999999999998E-4</v>
      </c>
      <c r="N145">
        <v>319.641954</v>
      </c>
    </row>
    <row r="146" spans="1:14" x14ac:dyDescent="0.2">
      <c r="A146">
        <v>10</v>
      </c>
      <c r="B146">
        <v>20</v>
      </c>
      <c r="C146">
        <v>9</v>
      </c>
      <c r="D146">
        <v>17</v>
      </c>
      <c r="E146">
        <v>9.9999999999999995E-7</v>
      </c>
      <c r="F146">
        <v>2.437341</v>
      </c>
      <c r="G146">
        <v>3.138827</v>
      </c>
      <c r="H146">
        <v>0.438884</v>
      </c>
      <c r="I146">
        <v>-6.4059860000000004</v>
      </c>
      <c r="J146">
        <v>-4.3049689999999998</v>
      </c>
      <c r="K146">
        <v>-5.9365300000000003</v>
      </c>
      <c r="L146">
        <v>0.56927399999999995</v>
      </c>
      <c r="M146">
        <v>4.4900000000000002E-4</v>
      </c>
      <c r="N146">
        <v>269.75404200000003</v>
      </c>
    </row>
    <row r="147" spans="1:14" x14ac:dyDescent="0.2">
      <c r="A147">
        <v>10</v>
      </c>
      <c r="B147">
        <v>20</v>
      </c>
      <c r="C147">
        <v>1</v>
      </c>
      <c r="D147">
        <v>18</v>
      </c>
      <c r="E147">
        <v>9.9999999999999995E-7</v>
      </c>
      <c r="F147">
        <v>0.88983400000000001</v>
      </c>
      <c r="G147">
        <v>0.88959200000000005</v>
      </c>
      <c r="H147">
        <v>0</v>
      </c>
      <c r="I147">
        <v>-122.84099000000001</v>
      </c>
      <c r="J147">
        <v>-122.572142</v>
      </c>
      <c r="K147">
        <v>-122.572142</v>
      </c>
      <c r="L147">
        <v>0.57263799999999998</v>
      </c>
      <c r="M147">
        <v>7.1000000000000005E-5</v>
      </c>
      <c r="N147">
        <v>321.70984399999998</v>
      </c>
    </row>
    <row r="148" spans="1:14" x14ac:dyDescent="0.2">
      <c r="A148">
        <v>10</v>
      </c>
      <c r="B148">
        <v>20</v>
      </c>
      <c r="C148">
        <v>2</v>
      </c>
      <c r="D148">
        <v>18</v>
      </c>
      <c r="E148">
        <v>9.9999999999999995E-7</v>
      </c>
      <c r="F148">
        <v>0.93894599999999995</v>
      </c>
      <c r="G148">
        <v>0.93838299999999997</v>
      </c>
      <c r="H148">
        <v>1.07E-4</v>
      </c>
      <c r="I148">
        <v>-108.125741</v>
      </c>
      <c r="J148">
        <v>-107.136397</v>
      </c>
      <c r="K148">
        <v>-107.136397</v>
      </c>
      <c r="L148">
        <v>0.568936</v>
      </c>
      <c r="M148">
        <v>1.3999999999999999E-4</v>
      </c>
      <c r="N148">
        <v>303.46856300000002</v>
      </c>
    </row>
    <row r="149" spans="1:14" x14ac:dyDescent="0.2">
      <c r="A149">
        <v>10</v>
      </c>
      <c r="B149">
        <v>20</v>
      </c>
      <c r="C149">
        <v>3</v>
      </c>
      <c r="D149">
        <v>18</v>
      </c>
      <c r="E149">
        <v>9.9999999999999995E-7</v>
      </c>
      <c r="F149">
        <v>0.97267999999999999</v>
      </c>
      <c r="G149">
        <v>0.97225499999999998</v>
      </c>
      <c r="H149">
        <v>8.2999999999999998E-5</v>
      </c>
      <c r="I149">
        <v>-93.220623000000003</v>
      </c>
      <c r="J149">
        <v>-91.795309000000003</v>
      </c>
      <c r="K149">
        <v>-91.795309000000003</v>
      </c>
      <c r="L149">
        <v>0.58217600000000003</v>
      </c>
      <c r="M149">
        <v>2.13E-4</v>
      </c>
      <c r="N149">
        <v>296.26043399999998</v>
      </c>
    </row>
    <row r="150" spans="1:14" x14ac:dyDescent="0.2">
      <c r="A150">
        <v>10</v>
      </c>
      <c r="B150">
        <v>20</v>
      </c>
      <c r="C150">
        <v>4</v>
      </c>
      <c r="D150">
        <v>18</v>
      </c>
      <c r="E150">
        <v>9.9999999999999995E-7</v>
      </c>
      <c r="F150">
        <v>1.00424</v>
      </c>
      <c r="G150">
        <v>1.004297</v>
      </c>
      <c r="H150">
        <v>3.529E-3</v>
      </c>
      <c r="I150">
        <v>-77.832341</v>
      </c>
      <c r="J150">
        <v>-76.804727</v>
      </c>
      <c r="K150">
        <v>-76.902066000000005</v>
      </c>
      <c r="L150">
        <v>0.72137399999999996</v>
      </c>
      <c r="M150">
        <v>2.9999999999999997E-4</v>
      </c>
      <c r="N150">
        <v>306.74193400000001</v>
      </c>
    </row>
    <row r="151" spans="1:14" x14ac:dyDescent="0.2">
      <c r="A151">
        <v>10</v>
      </c>
      <c r="B151">
        <v>20</v>
      </c>
      <c r="C151">
        <v>5</v>
      </c>
      <c r="D151">
        <v>18</v>
      </c>
      <c r="E151">
        <v>9.9999999999999995E-7</v>
      </c>
      <c r="F151">
        <v>1.040762</v>
      </c>
      <c r="G151">
        <v>1.041369</v>
      </c>
      <c r="H151">
        <v>4.2919999999999998E-3</v>
      </c>
      <c r="I151">
        <v>-62.838597</v>
      </c>
      <c r="J151">
        <v>-61.916964999999998</v>
      </c>
      <c r="K151">
        <v>-61.916964999999998</v>
      </c>
      <c r="L151">
        <v>0.59845199999999998</v>
      </c>
      <c r="M151">
        <v>3.2200000000000002E-4</v>
      </c>
      <c r="N151">
        <v>379.23988900000001</v>
      </c>
    </row>
    <row r="152" spans="1:14" x14ac:dyDescent="0.2">
      <c r="A152">
        <v>10</v>
      </c>
      <c r="B152">
        <v>20</v>
      </c>
      <c r="C152">
        <v>6</v>
      </c>
      <c r="D152">
        <v>18</v>
      </c>
      <c r="E152">
        <v>9.9999999999999995E-7</v>
      </c>
      <c r="F152">
        <v>1.09121</v>
      </c>
      <c r="G152">
        <v>1.0929850000000001</v>
      </c>
      <c r="H152">
        <v>7.3410000000000003E-3</v>
      </c>
      <c r="I152">
        <v>-48.072113000000002</v>
      </c>
      <c r="J152">
        <v>-47.154338000000003</v>
      </c>
      <c r="K152">
        <v>-47.154338000000003</v>
      </c>
      <c r="L152">
        <v>0.61908700000000005</v>
      </c>
      <c r="M152">
        <v>4.2099999999999999E-4</v>
      </c>
      <c r="N152">
        <v>407.85151999999999</v>
      </c>
    </row>
    <row r="153" spans="1:14" x14ac:dyDescent="0.2">
      <c r="A153">
        <v>10</v>
      </c>
      <c r="B153">
        <v>20</v>
      </c>
      <c r="C153">
        <v>7</v>
      </c>
      <c r="D153">
        <v>18</v>
      </c>
      <c r="E153">
        <v>9.9999999999999995E-7</v>
      </c>
      <c r="F153">
        <v>1.1782779999999999</v>
      </c>
      <c r="G153">
        <v>1.1812640000000001</v>
      </c>
      <c r="H153">
        <v>2.6655000000000002E-2</v>
      </c>
      <c r="I153">
        <v>-33.241135</v>
      </c>
      <c r="J153">
        <v>-32.693463999999999</v>
      </c>
      <c r="K153">
        <v>-33.016024999999999</v>
      </c>
      <c r="L153">
        <v>0.77077200000000001</v>
      </c>
      <c r="M153">
        <v>6.4499999999999996E-4</v>
      </c>
      <c r="N153">
        <v>326.58006899999998</v>
      </c>
    </row>
    <row r="154" spans="1:14" x14ac:dyDescent="0.2">
      <c r="A154">
        <v>10</v>
      </c>
      <c r="B154">
        <v>20</v>
      </c>
      <c r="C154">
        <v>8</v>
      </c>
      <c r="D154">
        <v>18</v>
      </c>
      <c r="E154">
        <v>9.9999999999999995E-7</v>
      </c>
      <c r="F154">
        <v>1.368841</v>
      </c>
      <c r="G154">
        <v>1.3888160000000001</v>
      </c>
      <c r="H154">
        <v>5.3577E-2</v>
      </c>
      <c r="I154">
        <v>-19.687211999999999</v>
      </c>
      <c r="J154">
        <v>-18.675818</v>
      </c>
      <c r="K154">
        <v>-18.861246999999999</v>
      </c>
      <c r="L154">
        <v>0.57536200000000004</v>
      </c>
      <c r="M154">
        <v>6.02E-4</v>
      </c>
      <c r="N154">
        <v>210.28559799999999</v>
      </c>
    </row>
    <row r="155" spans="1:14" x14ac:dyDescent="0.2">
      <c r="A155">
        <v>10</v>
      </c>
      <c r="B155">
        <v>20</v>
      </c>
      <c r="C155">
        <v>9</v>
      </c>
      <c r="D155">
        <v>18</v>
      </c>
      <c r="E155">
        <v>9.9999999999999995E-7</v>
      </c>
      <c r="F155">
        <v>2.4124720000000002</v>
      </c>
      <c r="G155">
        <v>2.7541329999999999</v>
      </c>
      <c r="H155">
        <v>0.36763699999999999</v>
      </c>
      <c r="I155">
        <v>-5.9748359999999998</v>
      </c>
      <c r="J155">
        <v>-4.8110879999999998</v>
      </c>
      <c r="K155">
        <v>-6.1832099999999999</v>
      </c>
      <c r="L155">
        <v>0.62705299999999997</v>
      </c>
      <c r="M155">
        <v>5.2499999999999997E-4</v>
      </c>
      <c r="N155">
        <v>229.815538</v>
      </c>
    </row>
    <row r="156" spans="1:14" x14ac:dyDescent="0.2">
      <c r="A156">
        <v>10</v>
      </c>
      <c r="B156">
        <v>20</v>
      </c>
      <c r="C156">
        <v>1</v>
      </c>
      <c r="D156">
        <v>19</v>
      </c>
      <c r="E156">
        <v>9.9999999999999995E-7</v>
      </c>
      <c r="F156">
        <v>0.89251100000000005</v>
      </c>
      <c r="G156">
        <v>0.89183400000000002</v>
      </c>
      <c r="H156">
        <v>0</v>
      </c>
      <c r="I156">
        <v>-123.188292</v>
      </c>
      <c r="J156">
        <v>-122.416454</v>
      </c>
      <c r="K156">
        <v>-122.416454</v>
      </c>
      <c r="L156">
        <v>0.58538000000000001</v>
      </c>
      <c r="M156">
        <v>8.7999999999999998E-5</v>
      </c>
      <c r="N156">
        <v>288.97833900000001</v>
      </c>
    </row>
    <row r="157" spans="1:14" x14ac:dyDescent="0.2">
      <c r="A157">
        <v>10</v>
      </c>
      <c r="B157">
        <v>20</v>
      </c>
      <c r="C157">
        <v>2</v>
      </c>
      <c r="D157">
        <v>19</v>
      </c>
      <c r="E157">
        <v>9.9999999999999995E-7</v>
      </c>
      <c r="F157">
        <v>0.941527</v>
      </c>
      <c r="G157">
        <v>0.94102300000000005</v>
      </c>
      <c r="H157">
        <v>3.3300000000000002E-4</v>
      </c>
      <c r="I157">
        <v>-107.911177</v>
      </c>
      <c r="J157">
        <v>-106.98845300000001</v>
      </c>
      <c r="K157">
        <v>-107.007847</v>
      </c>
      <c r="L157">
        <v>0.58826800000000001</v>
      </c>
      <c r="M157">
        <v>1.63E-4</v>
      </c>
      <c r="N157">
        <v>290.439864</v>
      </c>
    </row>
    <row r="158" spans="1:14" x14ac:dyDescent="0.2">
      <c r="A158">
        <v>10</v>
      </c>
      <c r="B158">
        <v>20</v>
      </c>
      <c r="C158">
        <v>3</v>
      </c>
      <c r="D158">
        <v>19</v>
      </c>
      <c r="E158">
        <v>9.9999999999999995E-7</v>
      </c>
      <c r="F158">
        <v>0.97563699999999998</v>
      </c>
      <c r="G158">
        <v>0.975387</v>
      </c>
      <c r="H158">
        <v>3.1199999999999999E-4</v>
      </c>
      <c r="I158">
        <v>-92.567871999999994</v>
      </c>
      <c r="J158">
        <v>-91.629341999999994</v>
      </c>
      <c r="K158">
        <v>-91.629341999999994</v>
      </c>
      <c r="L158">
        <v>0.59082100000000004</v>
      </c>
      <c r="M158">
        <v>3.1100000000000002E-4</v>
      </c>
      <c r="N158">
        <v>362.52112299999999</v>
      </c>
    </row>
    <row r="159" spans="1:14" x14ac:dyDescent="0.2">
      <c r="A159">
        <v>10</v>
      </c>
      <c r="B159">
        <v>20</v>
      </c>
      <c r="C159">
        <v>4</v>
      </c>
      <c r="D159">
        <v>19</v>
      </c>
      <c r="E159">
        <v>9.9999999999999995E-7</v>
      </c>
      <c r="F159">
        <v>1.0079629999999999</v>
      </c>
      <c r="G159">
        <v>1.0081249999999999</v>
      </c>
      <c r="H159">
        <v>1.6260000000000001E-3</v>
      </c>
      <c r="I159">
        <v>-78.054170999999997</v>
      </c>
      <c r="J159">
        <v>-76.500547999999995</v>
      </c>
      <c r="K159">
        <v>-76.500547999999995</v>
      </c>
      <c r="L159">
        <v>0.63296399999999997</v>
      </c>
      <c r="M159">
        <v>3.1399999999999999E-4</v>
      </c>
      <c r="N159">
        <v>323.74401799999998</v>
      </c>
    </row>
    <row r="160" spans="1:14" x14ac:dyDescent="0.2">
      <c r="A160">
        <v>10</v>
      </c>
      <c r="B160">
        <v>20</v>
      </c>
      <c r="C160">
        <v>5</v>
      </c>
      <c r="D160">
        <v>19</v>
      </c>
      <c r="E160">
        <v>9.9999999999999995E-7</v>
      </c>
      <c r="F160">
        <v>1.0450280000000001</v>
      </c>
      <c r="G160">
        <v>1.046227</v>
      </c>
      <c r="H160">
        <v>7.306E-3</v>
      </c>
      <c r="I160">
        <v>-63.359555999999998</v>
      </c>
      <c r="J160">
        <v>-61.716965000000002</v>
      </c>
      <c r="K160">
        <v>-61.773068000000002</v>
      </c>
      <c r="L160">
        <v>0.63410900000000003</v>
      </c>
      <c r="M160">
        <v>3.6000000000000002E-4</v>
      </c>
      <c r="N160">
        <v>421.07826499999999</v>
      </c>
    </row>
    <row r="161" spans="1:14" x14ac:dyDescent="0.2">
      <c r="A161">
        <v>10</v>
      </c>
      <c r="B161">
        <v>20</v>
      </c>
      <c r="C161">
        <v>6</v>
      </c>
      <c r="D161">
        <v>19</v>
      </c>
      <c r="E161">
        <v>9.9999999999999995E-7</v>
      </c>
      <c r="F161">
        <v>1.0968249999999999</v>
      </c>
      <c r="G161">
        <v>1.099539</v>
      </c>
      <c r="H161">
        <v>1.4444E-2</v>
      </c>
      <c r="I161">
        <v>-48.295458000000004</v>
      </c>
      <c r="J161">
        <v>-46.978459999999998</v>
      </c>
      <c r="K161">
        <v>-47.149898</v>
      </c>
      <c r="L161">
        <v>0.72015099999999999</v>
      </c>
      <c r="M161">
        <v>1.6509999999999999E-3</v>
      </c>
      <c r="N161">
        <v>326.17465299999998</v>
      </c>
    </row>
    <row r="162" spans="1:14" x14ac:dyDescent="0.2">
      <c r="A162">
        <v>10</v>
      </c>
      <c r="B162">
        <v>20</v>
      </c>
      <c r="C162">
        <v>7</v>
      </c>
      <c r="D162">
        <v>19</v>
      </c>
      <c r="E162">
        <v>9.9999999999999995E-7</v>
      </c>
      <c r="F162">
        <v>1.183989</v>
      </c>
      <c r="G162">
        <v>1.1928209999999999</v>
      </c>
      <c r="H162">
        <v>2.5804000000000001E-2</v>
      </c>
      <c r="I162">
        <v>-33.793843000000003</v>
      </c>
      <c r="J162">
        <v>-32.246040999999998</v>
      </c>
      <c r="K162">
        <v>-32.637428</v>
      </c>
      <c r="L162">
        <v>0.61515900000000001</v>
      </c>
      <c r="M162">
        <v>5.8299999999999997E-4</v>
      </c>
      <c r="N162">
        <v>272.93636800000002</v>
      </c>
    </row>
    <row r="163" spans="1:14" x14ac:dyDescent="0.2">
      <c r="A163">
        <v>10</v>
      </c>
      <c r="B163">
        <v>20</v>
      </c>
      <c r="C163">
        <v>8</v>
      </c>
      <c r="D163">
        <v>19</v>
      </c>
      <c r="E163">
        <v>9.9999999999999995E-7</v>
      </c>
      <c r="F163">
        <v>1.4027879999999999</v>
      </c>
      <c r="G163">
        <v>1.4115390000000001</v>
      </c>
      <c r="H163">
        <v>8.1458000000000003E-2</v>
      </c>
      <c r="I163">
        <v>-18.751852</v>
      </c>
      <c r="J163">
        <v>-18.353093999999999</v>
      </c>
      <c r="K163">
        <v>-19.044592000000002</v>
      </c>
      <c r="L163">
        <v>0.60344500000000001</v>
      </c>
      <c r="M163">
        <v>5.2800000000000004E-4</v>
      </c>
      <c r="N163">
        <v>237.446967</v>
      </c>
    </row>
    <row r="164" spans="1:14" x14ac:dyDescent="0.2">
      <c r="A164">
        <v>10</v>
      </c>
      <c r="B164">
        <v>20</v>
      </c>
      <c r="C164">
        <v>9</v>
      </c>
      <c r="D164">
        <v>19</v>
      </c>
      <c r="E164">
        <v>9.9999999999999995E-7</v>
      </c>
      <c r="F164">
        <v>2.9044020000000002</v>
      </c>
      <c r="G164">
        <v>2.9044020000000002</v>
      </c>
      <c r="H164">
        <v>0.31679000000000002</v>
      </c>
      <c r="I164">
        <v>-4.5845599999999997</v>
      </c>
      <c r="J164">
        <v>-4.5845599999999997</v>
      </c>
      <c r="K164">
        <v>-5.159332</v>
      </c>
      <c r="L164">
        <v>0.62129000000000001</v>
      </c>
      <c r="M164">
        <v>6.1700000000000004E-4</v>
      </c>
      <c r="N164">
        <v>350.65443800000003</v>
      </c>
    </row>
    <row r="165" spans="1:14" x14ac:dyDescent="0.2">
      <c r="A165">
        <v>10</v>
      </c>
      <c r="B165">
        <v>20</v>
      </c>
      <c r="C165">
        <v>1</v>
      </c>
      <c r="D165">
        <v>20</v>
      </c>
      <c r="E165">
        <v>9.9999999999999995E-7</v>
      </c>
      <c r="F165">
        <v>0.88838300000000003</v>
      </c>
      <c r="G165">
        <v>0.88838300000000003</v>
      </c>
      <c r="H165">
        <v>0</v>
      </c>
      <c r="I165">
        <v>-122.414107</v>
      </c>
      <c r="J165">
        <v>-122.414107</v>
      </c>
      <c r="K165">
        <v>-122.414107</v>
      </c>
      <c r="L165">
        <v>0.38836700000000002</v>
      </c>
      <c r="M165">
        <v>1.4300000000000001E-4</v>
      </c>
      <c r="N165">
        <v>350.18255199999999</v>
      </c>
    </row>
    <row r="166" spans="1:14" x14ac:dyDescent="0.2">
      <c r="A166">
        <v>10</v>
      </c>
      <c r="B166">
        <v>20</v>
      </c>
      <c r="C166">
        <v>2</v>
      </c>
      <c r="D166">
        <v>20</v>
      </c>
      <c r="E166">
        <v>9.9999999999999995E-7</v>
      </c>
      <c r="F166">
        <v>0.93701500000000004</v>
      </c>
      <c r="G166">
        <v>0.936921</v>
      </c>
      <c r="H166">
        <v>0</v>
      </c>
      <c r="I166">
        <v>-106.884316</v>
      </c>
      <c r="J166">
        <v>-106.723641</v>
      </c>
      <c r="K166">
        <v>-106.723641</v>
      </c>
      <c r="L166">
        <v>0.64376800000000001</v>
      </c>
      <c r="M166">
        <v>1.92E-4</v>
      </c>
      <c r="N166">
        <v>312.61887200000001</v>
      </c>
    </row>
    <row r="167" spans="1:14" x14ac:dyDescent="0.2">
      <c r="A167">
        <v>10</v>
      </c>
      <c r="B167">
        <v>20</v>
      </c>
      <c r="C167">
        <v>3</v>
      </c>
      <c r="D167">
        <v>20</v>
      </c>
      <c r="E167">
        <v>9.9999999999999995E-7</v>
      </c>
      <c r="F167">
        <v>0.97082599999999997</v>
      </c>
      <c r="G167">
        <v>0.97065599999999996</v>
      </c>
      <c r="H167">
        <v>7.7300000000000003E-4</v>
      </c>
      <c r="I167">
        <v>-91.772972999999993</v>
      </c>
      <c r="J167">
        <v>-91.241095999999999</v>
      </c>
      <c r="K167">
        <v>-91.261617999999999</v>
      </c>
      <c r="L167">
        <v>0.57145299999999999</v>
      </c>
      <c r="M167">
        <v>4.9200000000000003E-4</v>
      </c>
      <c r="N167">
        <v>336.376846</v>
      </c>
    </row>
    <row r="168" spans="1:14" x14ac:dyDescent="0.2">
      <c r="A168">
        <v>10</v>
      </c>
      <c r="B168">
        <v>20</v>
      </c>
      <c r="C168">
        <v>4</v>
      </c>
      <c r="D168">
        <v>20</v>
      </c>
      <c r="E168">
        <v>9.9999999999999995E-7</v>
      </c>
      <c r="F168">
        <v>1.002586</v>
      </c>
      <c r="G168">
        <v>1.002629</v>
      </c>
      <c r="H168">
        <v>3.8900000000000002E-4</v>
      </c>
      <c r="I168">
        <v>-77.095913999999993</v>
      </c>
      <c r="J168">
        <v>-75.828639999999993</v>
      </c>
      <c r="K168">
        <v>-75.828639999999993</v>
      </c>
      <c r="L168">
        <v>0.61199700000000001</v>
      </c>
      <c r="M168">
        <v>3.0499999999999999E-4</v>
      </c>
      <c r="N168">
        <v>321.82240400000001</v>
      </c>
    </row>
    <row r="169" spans="1:14" x14ac:dyDescent="0.2">
      <c r="A169">
        <v>10</v>
      </c>
      <c r="B169">
        <v>20</v>
      </c>
      <c r="C169">
        <v>5</v>
      </c>
      <c r="D169">
        <v>20</v>
      </c>
      <c r="E169">
        <v>9.9999999999999995E-7</v>
      </c>
      <c r="F169">
        <v>1.0384420000000001</v>
      </c>
      <c r="G169">
        <v>1.0398289999999999</v>
      </c>
      <c r="H169">
        <v>6.5620000000000001E-3</v>
      </c>
      <c r="I169">
        <v>-63.233600000000003</v>
      </c>
      <c r="J169">
        <v>-61.031944000000003</v>
      </c>
      <c r="K169">
        <v>-61.092258000000001</v>
      </c>
      <c r="L169">
        <v>0.61218799999999995</v>
      </c>
      <c r="M169">
        <v>4.1899999999999999E-4</v>
      </c>
      <c r="N169">
        <v>385.708821</v>
      </c>
    </row>
    <row r="170" spans="1:14" x14ac:dyDescent="0.2">
      <c r="A170">
        <v>10</v>
      </c>
      <c r="B170">
        <v>20</v>
      </c>
      <c r="C170">
        <v>6</v>
      </c>
      <c r="D170">
        <v>20</v>
      </c>
      <c r="E170">
        <v>9.9999999999999995E-7</v>
      </c>
      <c r="F170">
        <v>1.086568</v>
      </c>
      <c r="G170">
        <v>1.0912539999999999</v>
      </c>
      <c r="H170">
        <v>5.7258000000000003E-2</v>
      </c>
      <c r="I170">
        <v>-49.141213</v>
      </c>
      <c r="J170">
        <v>-46.617623999999999</v>
      </c>
      <c r="K170">
        <v>-48.761972999999998</v>
      </c>
      <c r="L170">
        <v>0.59928000000000003</v>
      </c>
      <c r="M170">
        <v>4.6700000000000002E-4</v>
      </c>
      <c r="N170">
        <v>293.08934799999997</v>
      </c>
    </row>
    <row r="171" spans="1:14" x14ac:dyDescent="0.2">
      <c r="A171">
        <v>10</v>
      </c>
      <c r="B171">
        <v>20</v>
      </c>
      <c r="C171">
        <v>7</v>
      </c>
      <c r="D171">
        <v>20</v>
      </c>
      <c r="E171">
        <v>9.9999999999999995E-7</v>
      </c>
      <c r="F171">
        <v>1.1677489999999999</v>
      </c>
      <c r="G171">
        <v>1.1792290000000001</v>
      </c>
      <c r="H171">
        <v>2.6974000000000001E-2</v>
      </c>
      <c r="I171">
        <v>-34.548895000000002</v>
      </c>
      <c r="J171">
        <v>-32.336033999999998</v>
      </c>
      <c r="K171">
        <v>-32.454481999999999</v>
      </c>
      <c r="L171">
        <v>0.320857</v>
      </c>
      <c r="M171">
        <v>4.8099999999999998E-4</v>
      </c>
      <c r="N171">
        <v>360.18103600000001</v>
      </c>
    </row>
    <row r="172" spans="1:14" x14ac:dyDescent="0.2">
      <c r="A172">
        <v>10</v>
      </c>
      <c r="B172">
        <v>20</v>
      </c>
      <c r="C172">
        <v>8</v>
      </c>
      <c r="D172">
        <v>20</v>
      </c>
      <c r="E172">
        <v>9.9999999999999995E-7</v>
      </c>
      <c r="F172">
        <v>1.3678269999999999</v>
      </c>
      <c r="G172">
        <v>1.388827</v>
      </c>
      <c r="H172">
        <v>4.8591000000000002E-2</v>
      </c>
      <c r="I172">
        <v>-19.386455000000002</v>
      </c>
      <c r="J172">
        <v>-18.339389000000001</v>
      </c>
      <c r="K172">
        <v>-18.445322000000001</v>
      </c>
      <c r="L172">
        <v>0.59144099999999999</v>
      </c>
      <c r="M172">
        <v>5.4900000000000001E-4</v>
      </c>
      <c r="N172">
        <v>233.00850199999999</v>
      </c>
    </row>
    <row r="173" spans="1:14" x14ac:dyDescent="0.2">
      <c r="A173">
        <v>10</v>
      </c>
      <c r="B173">
        <v>20</v>
      </c>
      <c r="C173">
        <v>9</v>
      </c>
      <c r="D173">
        <v>20</v>
      </c>
      <c r="E173">
        <v>9.9999999999999995E-7</v>
      </c>
      <c r="F173">
        <v>2.5638749999999999</v>
      </c>
      <c r="G173">
        <v>2.8869370000000001</v>
      </c>
      <c r="H173">
        <v>0.150476</v>
      </c>
      <c r="I173">
        <v>-5.312881</v>
      </c>
      <c r="J173">
        <v>-4.4032640000000001</v>
      </c>
      <c r="K173">
        <v>-4.4367999999999999</v>
      </c>
      <c r="L173">
        <v>0.58601199999999998</v>
      </c>
      <c r="M173">
        <v>5.4000000000000001E-4</v>
      </c>
      <c r="N173">
        <v>262.26557500000001</v>
      </c>
    </row>
    <row r="174" spans="1:14" x14ac:dyDescent="0.2">
      <c r="A174">
        <v>10</v>
      </c>
      <c r="B174">
        <v>20</v>
      </c>
      <c r="C174">
        <v>1</v>
      </c>
      <c r="D174">
        <v>14</v>
      </c>
      <c r="E174">
        <v>9.9999999999999995E-7</v>
      </c>
      <c r="F174">
        <v>0.87824199999999997</v>
      </c>
      <c r="G174">
        <v>0.87810699999999997</v>
      </c>
      <c r="H174">
        <v>0</v>
      </c>
      <c r="I174">
        <v>-122.59169</v>
      </c>
      <c r="J174">
        <v>-122.455907</v>
      </c>
      <c r="K174">
        <v>-122.455907</v>
      </c>
      <c r="L174">
        <v>0.24533199999999999</v>
      </c>
      <c r="M174">
        <v>8.5000000000000006E-5</v>
      </c>
      <c r="N174">
        <v>314.532263</v>
      </c>
    </row>
    <row r="175" spans="1:14" x14ac:dyDescent="0.2">
      <c r="A175">
        <v>10</v>
      </c>
      <c r="B175">
        <v>20</v>
      </c>
      <c r="C175">
        <v>2</v>
      </c>
      <c r="D175">
        <v>14</v>
      </c>
      <c r="E175">
        <v>9.9999999999999995E-7</v>
      </c>
      <c r="F175">
        <v>0.92620800000000003</v>
      </c>
      <c r="G175">
        <v>0.92522199999999999</v>
      </c>
      <c r="H175">
        <v>7.6000000000000004E-5</v>
      </c>
      <c r="I175">
        <v>-108.345792</v>
      </c>
      <c r="J175">
        <v>-106.91667200000001</v>
      </c>
      <c r="K175">
        <v>-106.91667200000001</v>
      </c>
      <c r="L175">
        <v>0.27178400000000003</v>
      </c>
      <c r="M175">
        <v>1.46E-4</v>
      </c>
      <c r="N175">
        <v>358.24149999999997</v>
      </c>
    </row>
    <row r="176" spans="1:14" x14ac:dyDescent="0.2">
      <c r="A176">
        <v>10</v>
      </c>
      <c r="B176">
        <v>20</v>
      </c>
      <c r="C176">
        <v>3</v>
      </c>
      <c r="D176">
        <v>14</v>
      </c>
      <c r="E176">
        <v>9.9999999999999995E-7</v>
      </c>
      <c r="F176">
        <v>0.95759399999999995</v>
      </c>
      <c r="G176">
        <v>0.95704599999999995</v>
      </c>
      <c r="H176">
        <v>4.1199999999999999E-4</v>
      </c>
      <c r="I176">
        <v>-92.921638999999999</v>
      </c>
      <c r="J176">
        <v>-91.735479999999995</v>
      </c>
      <c r="K176">
        <v>-91.735479999999995</v>
      </c>
      <c r="L176">
        <v>0.72375400000000001</v>
      </c>
      <c r="M176">
        <v>3.4600000000000001E-4</v>
      </c>
      <c r="N176">
        <v>369.22783700000002</v>
      </c>
    </row>
    <row r="177" spans="1:14" x14ac:dyDescent="0.2">
      <c r="A177">
        <v>10</v>
      </c>
      <c r="B177">
        <v>20</v>
      </c>
      <c r="C177">
        <v>4</v>
      </c>
      <c r="D177">
        <v>14</v>
      </c>
      <c r="E177">
        <v>9.9999999999999995E-7</v>
      </c>
      <c r="F177">
        <v>0.98644799999999999</v>
      </c>
      <c r="G177">
        <v>0.98615200000000003</v>
      </c>
      <c r="H177">
        <v>4.7800000000000002E-4</v>
      </c>
      <c r="I177">
        <v>-78.485911000000002</v>
      </c>
      <c r="J177">
        <v>-76.808109999999999</v>
      </c>
      <c r="K177">
        <v>-76.808109999999999</v>
      </c>
      <c r="L177">
        <v>0.58348999999999995</v>
      </c>
      <c r="M177">
        <v>4.9700000000000005E-4</v>
      </c>
      <c r="N177">
        <v>460.26805899999999</v>
      </c>
    </row>
    <row r="178" spans="1:14" x14ac:dyDescent="0.2">
      <c r="A178">
        <v>10</v>
      </c>
      <c r="B178">
        <v>20</v>
      </c>
      <c r="C178">
        <v>5</v>
      </c>
      <c r="D178">
        <v>14</v>
      </c>
      <c r="E178">
        <v>9.9999999999999995E-7</v>
      </c>
      <c r="F178">
        <v>1.0182230000000001</v>
      </c>
      <c r="G178">
        <v>1.018783</v>
      </c>
      <c r="H178">
        <v>2.3349999999999998E-3</v>
      </c>
      <c r="I178">
        <v>-64.084575999999998</v>
      </c>
      <c r="J178">
        <v>-62.174582999999998</v>
      </c>
      <c r="K178">
        <v>-62.174582999999998</v>
      </c>
      <c r="L178">
        <v>0.67946099999999998</v>
      </c>
      <c r="M178">
        <v>3.4600000000000001E-4</v>
      </c>
      <c r="N178">
        <v>340.36954600000001</v>
      </c>
    </row>
    <row r="179" spans="1:14" x14ac:dyDescent="0.2">
      <c r="A179">
        <v>10</v>
      </c>
      <c r="B179">
        <v>20</v>
      </c>
      <c r="C179">
        <v>6</v>
      </c>
      <c r="D179">
        <v>14</v>
      </c>
      <c r="E179">
        <v>9.9999999999999995E-7</v>
      </c>
      <c r="F179">
        <v>1.0614030000000001</v>
      </c>
      <c r="G179">
        <v>1.062759</v>
      </c>
      <c r="H179">
        <v>4.3340000000000002E-3</v>
      </c>
      <c r="I179">
        <v>-48.711632000000002</v>
      </c>
      <c r="J179">
        <v>-47.658759000000003</v>
      </c>
      <c r="K179">
        <v>-47.658759000000003</v>
      </c>
      <c r="L179">
        <v>0.602989</v>
      </c>
      <c r="M179">
        <v>5.0299999999999997E-4</v>
      </c>
      <c r="N179">
        <v>297.11444699999998</v>
      </c>
    </row>
    <row r="180" spans="1:14" x14ac:dyDescent="0.2">
      <c r="A180">
        <v>10</v>
      </c>
      <c r="B180">
        <v>20</v>
      </c>
      <c r="C180">
        <v>7</v>
      </c>
      <c r="D180">
        <v>14</v>
      </c>
      <c r="E180">
        <v>9.9999999999999995E-7</v>
      </c>
      <c r="F180">
        <v>1.133151</v>
      </c>
      <c r="G180">
        <v>1.135067</v>
      </c>
      <c r="H180">
        <v>1.6875999999999999E-2</v>
      </c>
      <c r="I180">
        <v>-34.040629000000003</v>
      </c>
      <c r="J180">
        <v>-33.557713999999997</v>
      </c>
      <c r="K180">
        <v>-33.557713999999997</v>
      </c>
      <c r="L180">
        <v>0.66541700000000004</v>
      </c>
      <c r="M180">
        <v>4.6999999999999999E-4</v>
      </c>
      <c r="N180">
        <v>254.182154</v>
      </c>
    </row>
    <row r="181" spans="1:14" x14ac:dyDescent="0.2">
      <c r="A181">
        <v>10</v>
      </c>
      <c r="B181">
        <v>20</v>
      </c>
      <c r="C181">
        <v>8</v>
      </c>
      <c r="D181">
        <v>14</v>
      </c>
      <c r="E181">
        <v>9.9999999999999995E-7</v>
      </c>
      <c r="F181">
        <v>1.2958620000000001</v>
      </c>
      <c r="G181">
        <v>1.29979</v>
      </c>
      <c r="H181">
        <v>4.2209000000000003E-2</v>
      </c>
      <c r="I181">
        <v>-19.833088</v>
      </c>
      <c r="J181">
        <v>-19.573208999999999</v>
      </c>
      <c r="K181">
        <v>-19.615670999999999</v>
      </c>
      <c r="L181">
        <v>0.59210600000000002</v>
      </c>
      <c r="M181">
        <v>6.2090000000000001E-3</v>
      </c>
      <c r="N181">
        <v>223.09264999999999</v>
      </c>
    </row>
    <row r="182" spans="1:14" x14ac:dyDescent="0.2">
      <c r="A182">
        <v>10</v>
      </c>
      <c r="B182">
        <v>20</v>
      </c>
      <c r="C182">
        <v>9</v>
      </c>
      <c r="D182">
        <v>14</v>
      </c>
      <c r="E182">
        <v>9.9999999999999995E-7</v>
      </c>
      <c r="F182">
        <v>2.189111</v>
      </c>
      <c r="G182">
        <v>2.188965</v>
      </c>
      <c r="H182">
        <v>0.164687</v>
      </c>
      <c r="I182">
        <v>-5.9251719999999999</v>
      </c>
      <c r="J182">
        <v>-5.9258990000000002</v>
      </c>
      <c r="K182">
        <v>-5.9251719999999999</v>
      </c>
      <c r="L182">
        <v>0.68051300000000003</v>
      </c>
      <c r="M182">
        <v>9.8299999999999993E-4</v>
      </c>
      <c r="N182">
        <v>208.391132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10"/>
  <sheetViews>
    <sheetView tabSelected="1" workbookViewId="0">
      <selection activeCell="K10" sqref="K10"/>
    </sheetView>
  </sheetViews>
  <sheetFormatPr baseColWidth="10" defaultRowHeight="16" x14ac:dyDescent="0.2"/>
  <sheetData>
    <row r="1" spans="1:14" x14ac:dyDescent="0.2">
      <c r="A1" t="s">
        <v>0</v>
      </c>
      <c r="B1" t="s">
        <v>1</v>
      </c>
      <c r="C1" t="s">
        <v>2</v>
      </c>
      <c r="D1" t="s">
        <v>14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14" x14ac:dyDescent="0.2">
      <c r="A2">
        <v>10</v>
      </c>
      <c r="B2">
        <v>20</v>
      </c>
      <c r="C2">
        <v>1</v>
      </c>
      <c r="D2">
        <f>COUNTIF(raw!C:C,C2)</f>
        <v>20</v>
      </c>
      <c r="E2">
        <f>AVERAGEIF(raw!$C:$C,$C2,raw!E:E)</f>
        <v>1.0000000000000002E-6</v>
      </c>
      <c r="F2" s="1">
        <f>AVERAGEIF(raw!$C:$C,$C2,raw!F:F)</f>
        <v>0.88842525000000006</v>
      </c>
      <c r="G2" s="1">
        <f>AVERAGEIF(raw!$C:$C,$C2,raw!G:G)</f>
        <v>0.88815060000000001</v>
      </c>
      <c r="H2" s="1">
        <f>AVERAGEIF(raw!$C:$C,$C2,raw!H:H)</f>
        <v>0</v>
      </c>
      <c r="I2">
        <f>AVERAGEIF(raw!$C:$C,$C2,raw!I:I)</f>
        <v>-122.79567275000002</v>
      </c>
      <c r="J2">
        <f>AVERAGEIF(raw!$C:$C,$C2,raw!J:J)</f>
        <v>-122.48416180000001</v>
      </c>
      <c r="K2">
        <f>AVERAGEIF(raw!$C:$C,$C2,raw!K:K)</f>
        <v>-122.48416180000001</v>
      </c>
      <c r="L2" s="2">
        <f>AVERAGEIF(raw!$C:$C,$C2,raw!L:L)</f>
        <v>0.52122100000000005</v>
      </c>
      <c r="M2" s="2">
        <f>AVERAGEIF(raw!$C:$C,$C2,raw!M:M)</f>
        <v>6.1570000000000006E-4</v>
      </c>
      <c r="N2" s="2">
        <f>AVERAGEIF(raw!$C:$C,$C2,raw!N:N)</f>
        <v>346.99872880500004</v>
      </c>
    </row>
    <row r="3" spans="1:14" x14ac:dyDescent="0.2">
      <c r="A3">
        <v>10</v>
      </c>
      <c r="B3">
        <v>20</v>
      </c>
      <c r="C3">
        <v>2</v>
      </c>
      <c r="D3">
        <f>COUNTIF(raw!C:C,C3)</f>
        <v>20</v>
      </c>
      <c r="E3">
        <f>AVERAGEIF(raw!$C:$C,$C3,raw!E:E)</f>
        <v>1.0000000000000002E-6</v>
      </c>
      <c r="F3" s="1">
        <f>AVERAGEIF(raw!$C:$C,$C3,raw!F:F)</f>
        <v>0.9371425999999996</v>
      </c>
      <c r="G3" s="1">
        <f>AVERAGEIF(raw!$C:$C,$C3,raw!G:G)</f>
        <v>0.93678234999999999</v>
      </c>
      <c r="H3" s="1">
        <f>AVERAGEIF(raw!$C:$C,$C3,raw!H:H)</f>
        <v>1.373E-4</v>
      </c>
      <c r="I3">
        <f>AVERAGEIF(raw!$C:$C,$C3,raw!I:I)</f>
        <v>-107.67617854999999</v>
      </c>
      <c r="J3">
        <f>AVERAGEIF(raw!$C:$C,$C3,raw!J:J)</f>
        <v>-107.04876935</v>
      </c>
      <c r="K3">
        <f>AVERAGEIF(raw!$C:$C,$C3,raw!K:K)</f>
        <v>-107.05014854999999</v>
      </c>
      <c r="L3" s="2">
        <f>AVERAGEIF(raw!$C:$C,$C3,raw!L:L)</f>
        <v>0.63215770000000016</v>
      </c>
      <c r="M3" s="2">
        <f>AVERAGEIF(raw!$C:$C,$C3,raw!M:M)</f>
        <v>4.2544999999999996E-4</v>
      </c>
      <c r="N3" s="2">
        <f>AVERAGEIF(raw!$C:$C,$C3,raw!N:N)</f>
        <v>338.49812785500001</v>
      </c>
    </row>
    <row r="4" spans="1:14" x14ac:dyDescent="0.2">
      <c r="A4">
        <v>10</v>
      </c>
      <c r="B4">
        <v>20</v>
      </c>
      <c r="C4">
        <v>3</v>
      </c>
      <c r="D4">
        <f>COUNTIF(raw!C:C,C4)</f>
        <v>20</v>
      </c>
      <c r="E4">
        <f>AVERAGEIF(raw!$C:$C,$C4,raw!E:E)</f>
        <v>1.0000000000000002E-6</v>
      </c>
      <c r="F4" s="1">
        <f>AVERAGEIF(raw!$C:$C,$C4,raw!F:F)</f>
        <v>0.97073160000000003</v>
      </c>
      <c r="G4" s="1">
        <f>AVERAGEIF(raw!$C:$C,$C4,raw!G:G)</f>
        <v>0.97045904999999988</v>
      </c>
      <c r="H4" s="1">
        <f>AVERAGEIF(raw!$C:$C,$C4,raw!H:H)</f>
        <v>6.0549999999999992E-4</v>
      </c>
      <c r="I4">
        <f>AVERAGEIF(raw!$C:$C,$C4,raw!I:I)</f>
        <v>-92.6401489</v>
      </c>
      <c r="J4">
        <f>AVERAGEIF(raw!$C:$C,$C4,raw!J:J)</f>
        <v>-91.76641595000001</v>
      </c>
      <c r="K4">
        <f>AVERAGEIF(raw!$C:$C,$C4,raw!K:K)</f>
        <v>-91.7746061</v>
      </c>
      <c r="L4" s="2">
        <f>AVERAGEIF(raw!$C:$C,$C4,raw!L:L)</f>
        <v>0.58570184999999997</v>
      </c>
      <c r="M4" s="2">
        <f>AVERAGEIF(raw!$C:$C,$C4,raw!M:M)</f>
        <v>7.2599999999999987E-4</v>
      </c>
      <c r="N4" s="2">
        <f>AVERAGEIF(raw!$C:$C,$C4,raw!N:N)</f>
        <v>320.82448405500003</v>
      </c>
    </row>
    <row r="5" spans="1:14" x14ac:dyDescent="0.2">
      <c r="A5">
        <v>10</v>
      </c>
      <c r="B5">
        <v>20</v>
      </c>
      <c r="C5">
        <v>4</v>
      </c>
      <c r="D5">
        <f>COUNTIF(raw!C:C,C5)</f>
        <v>20</v>
      </c>
      <c r="E5">
        <f>AVERAGEIF(raw!$C:$C,$C5,raw!E:E)</f>
        <v>1.0000000000000002E-6</v>
      </c>
      <c r="F5" s="1">
        <f>AVERAGEIF(raw!$C:$C,$C5,raw!F:F)</f>
        <v>1.00218455</v>
      </c>
      <c r="G5" s="1">
        <f>AVERAGEIF(raw!$C:$C,$C5,raw!G:G)</f>
        <v>1.0021983999999999</v>
      </c>
      <c r="H5" s="1">
        <f>AVERAGEIF(raw!$C:$C,$C5,raw!H:H)</f>
        <v>1.7579000000000002E-3</v>
      </c>
      <c r="I5">
        <f>AVERAGEIF(raw!$C:$C,$C5,raw!I:I)</f>
        <v>-77.721028649999994</v>
      </c>
      <c r="J5">
        <f>AVERAGEIF(raw!$C:$C,$C5,raw!J:J)</f>
        <v>-76.669025099999985</v>
      </c>
      <c r="K5">
        <f>AVERAGEIF(raw!$C:$C,$C5,raw!K:K)</f>
        <v>-76.6910764</v>
      </c>
      <c r="L5" s="2">
        <f>AVERAGEIF(raw!$C:$C,$C5,raw!L:L)</f>
        <v>0.62845464999999989</v>
      </c>
      <c r="M5" s="2">
        <f>AVERAGEIF(raw!$C:$C,$C5,raw!M:M)</f>
        <v>3.3370000000000003E-4</v>
      </c>
      <c r="N5" s="2">
        <f>AVERAGEIF(raw!$C:$C,$C5,raw!N:N)</f>
        <v>338.71979929999998</v>
      </c>
    </row>
    <row r="6" spans="1:14" x14ac:dyDescent="0.2">
      <c r="A6">
        <v>10</v>
      </c>
      <c r="B6">
        <v>20</v>
      </c>
      <c r="C6">
        <v>5</v>
      </c>
      <c r="D6">
        <f>COUNTIF(raw!C:C,C6)</f>
        <v>20</v>
      </c>
      <c r="E6">
        <f>AVERAGEIF(raw!$C:$C,$C6,raw!E:E)</f>
        <v>1.0000000000000002E-6</v>
      </c>
      <c r="F6" s="1">
        <f>AVERAGEIF(raw!$C:$C,$C6,raw!F:F)</f>
        <v>1.0381858000000002</v>
      </c>
      <c r="G6" s="1">
        <f>AVERAGEIF(raw!$C:$C,$C6,raw!G:G)</f>
        <v>1.0388977500000001</v>
      </c>
      <c r="H6" s="1">
        <f>AVERAGEIF(raw!$C:$C,$C6,raw!H:H)</f>
        <v>3.7398499999999994E-3</v>
      </c>
      <c r="I6">
        <f>AVERAGEIF(raw!$C:$C,$C6,raw!I:I)</f>
        <v>-63.018216350000003</v>
      </c>
      <c r="J6">
        <f>AVERAGEIF(raw!$C:$C,$C6,raw!J:J)</f>
        <v>-61.781142550000006</v>
      </c>
      <c r="K6">
        <f>AVERAGEIF(raw!$C:$C,$C6,raw!K:K)</f>
        <v>-61.783420349999986</v>
      </c>
      <c r="L6" s="2">
        <f>AVERAGEIF(raw!$C:$C,$C6,raw!L:L)</f>
        <v>0.52601039999999988</v>
      </c>
      <c r="M6" s="2">
        <f>AVERAGEIF(raw!$C:$C,$C6,raw!M:M)</f>
        <v>4.1080000000000006E-4</v>
      </c>
      <c r="N6" s="2">
        <f>AVERAGEIF(raw!$C:$C,$C6,raw!N:N)</f>
        <v>331.09756125499996</v>
      </c>
    </row>
    <row r="7" spans="1:14" x14ac:dyDescent="0.2">
      <c r="A7">
        <v>10</v>
      </c>
      <c r="B7">
        <v>20</v>
      </c>
      <c r="C7">
        <v>6</v>
      </c>
      <c r="D7">
        <f>COUNTIF(raw!C:C,C7)</f>
        <v>20</v>
      </c>
      <c r="E7">
        <f>AVERAGEIF(raw!$C:$C,$C7,raw!E:E)</f>
        <v>1.0000000000000002E-6</v>
      </c>
      <c r="F7" s="1">
        <f>AVERAGEIF(raw!$C:$C,$C7,raw!F:F)</f>
        <v>1.0879984500000002</v>
      </c>
      <c r="G7" s="1">
        <f>AVERAGEIF(raw!$C:$C,$C7,raw!G:G)</f>
        <v>1.0897577999999997</v>
      </c>
      <c r="H7" s="1">
        <f>AVERAGEIF(raw!$C:$C,$C7,raw!H:H)</f>
        <v>1.39659E-2</v>
      </c>
      <c r="I7">
        <f>AVERAGEIF(raw!$C:$C,$C7,raw!I:I)</f>
        <v>-48.144741549999999</v>
      </c>
      <c r="J7">
        <f>AVERAGEIF(raw!$C:$C,$C7,raw!J:J)</f>
        <v>-47.159881499999997</v>
      </c>
      <c r="K7">
        <f>AVERAGEIF(raw!$C:$C,$C7,raw!K:K)</f>
        <v>-47.418834999999994</v>
      </c>
      <c r="L7" s="2">
        <f>AVERAGEIF(raw!$C:$C,$C7,raw!L:L)</f>
        <v>0.53305989999999992</v>
      </c>
      <c r="M7" s="2">
        <f>AVERAGEIF(raw!$C:$C,$C7,raw!M:M)</f>
        <v>7.8680000000000004E-4</v>
      </c>
      <c r="N7" s="2">
        <f>AVERAGEIF(raw!$C:$C,$C7,raw!N:N)</f>
        <v>287.54477749999995</v>
      </c>
    </row>
    <row r="8" spans="1:14" x14ac:dyDescent="0.2">
      <c r="A8">
        <v>10</v>
      </c>
      <c r="B8">
        <v>20</v>
      </c>
      <c r="C8">
        <v>7</v>
      </c>
      <c r="D8">
        <f>COUNTIF(raw!C:C,C8)</f>
        <v>20</v>
      </c>
      <c r="E8">
        <f>AVERAGEIF(raw!$C:$C,$C8,raw!E:E)</f>
        <v>1.0000000000000002E-6</v>
      </c>
      <c r="F8" s="1">
        <f>AVERAGEIF(raw!$C:$C,$C8,raw!F:F)</f>
        <v>1.1725939999999999</v>
      </c>
      <c r="G8" s="1">
        <f>AVERAGEIF(raw!$C:$C,$C8,raw!G:G)</f>
        <v>1.1768826499999998</v>
      </c>
      <c r="H8" s="1">
        <f>AVERAGEIF(raw!$C:$C,$C8,raw!H:H)</f>
        <v>2.3876349999999998E-2</v>
      </c>
      <c r="I8">
        <f>AVERAGEIF(raw!$C:$C,$C8,raw!I:I)</f>
        <v>-33.603138049999998</v>
      </c>
      <c r="J8">
        <f>AVERAGEIF(raw!$C:$C,$C8,raw!J:J)</f>
        <v>-32.720614100000006</v>
      </c>
      <c r="K8">
        <f>AVERAGEIF(raw!$C:$C,$C8,raw!K:K)</f>
        <v>-32.947356149999997</v>
      </c>
      <c r="L8" s="2">
        <f>AVERAGEIF(raw!$C:$C,$C8,raw!L:L)</f>
        <v>0.54691394999999987</v>
      </c>
      <c r="M8" s="2">
        <f>AVERAGEIF(raw!$C:$C,$C8,raw!M:M)</f>
        <v>5.4505000000000016E-4</v>
      </c>
      <c r="N8" s="2">
        <f>AVERAGEIF(raw!$C:$C,$C8,raw!N:N)</f>
        <v>255.16434975000001</v>
      </c>
    </row>
    <row r="9" spans="1:14" x14ac:dyDescent="0.2">
      <c r="A9">
        <v>10</v>
      </c>
      <c r="B9">
        <v>20</v>
      </c>
      <c r="C9">
        <v>8</v>
      </c>
      <c r="D9">
        <f>COUNTIF(raw!C:C,C9)</f>
        <v>20</v>
      </c>
      <c r="E9">
        <f>AVERAGEIF(raw!$C:$C,$C9,raw!E:E)</f>
        <v>1.0000000000000002E-6</v>
      </c>
      <c r="F9" s="1">
        <f>AVERAGEIF(raw!$C:$C,$C9,raw!F:F)</f>
        <v>1.3690221999999999</v>
      </c>
      <c r="G9" s="1">
        <f>AVERAGEIF(raw!$C:$C,$C9,raw!G:G)</f>
        <v>1.38503965</v>
      </c>
      <c r="H9" s="1">
        <f>AVERAGEIF(raw!$C:$C,$C9,raw!H:H)</f>
        <v>5.2515800000000001E-2</v>
      </c>
      <c r="I9">
        <f>AVERAGEIF(raw!$C:$C,$C9,raw!I:I)</f>
        <v>-19.478665999999997</v>
      </c>
      <c r="J9">
        <f>AVERAGEIF(raw!$C:$C,$C9,raw!J:J)</f>
        <v>-18.621917750000001</v>
      </c>
      <c r="K9">
        <f>AVERAGEIF(raw!$C:$C,$C9,raw!K:K)</f>
        <v>-18.826901749999998</v>
      </c>
      <c r="L9" s="2">
        <f>AVERAGEIF(raw!$C:$C,$C9,raw!L:L)</f>
        <v>0.59628895000000015</v>
      </c>
      <c r="M9" s="2">
        <f>AVERAGEIF(raw!$C:$C,$C9,raw!M:M)</f>
        <v>9.1780000000000008E-4</v>
      </c>
      <c r="N9" s="2">
        <f>AVERAGEIF(raw!$C:$C,$C9,raw!N:N)</f>
        <v>236.08025134999997</v>
      </c>
    </row>
    <row r="10" spans="1:14" x14ac:dyDescent="0.2">
      <c r="A10">
        <v>10</v>
      </c>
      <c r="B10">
        <v>20</v>
      </c>
      <c r="C10">
        <v>9</v>
      </c>
      <c r="D10">
        <f>COUNTIF(raw!C:C,C10)</f>
        <v>20</v>
      </c>
      <c r="E10">
        <f>AVERAGEIF(raw!$C:$C,$C10,raw!E:E)</f>
        <v>1.0000000000000002E-6</v>
      </c>
      <c r="F10" s="1">
        <f>AVERAGEIF(raw!$C:$C,$C10,raw!F:F)</f>
        <v>2.60846395</v>
      </c>
      <c r="G10" s="1">
        <f>AVERAGEIF(raw!$C:$C,$C10,raw!G:G)</f>
        <v>2.8749924</v>
      </c>
      <c r="H10" s="1">
        <f>AVERAGEIF(raw!$C:$C,$C10,raw!H:H)</f>
        <v>0.28429260000000001</v>
      </c>
      <c r="I10">
        <f>AVERAGEIF(raw!$C:$C,$C10,raw!I:I)</f>
        <v>-5.8544165999999995</v>
      </c>
      <c r="J10">
        <f>AVERAGEIF(raw!$C:$C,$C10,raw!J:J)</f>
        <v>-4.8914348499999996</v>
      </c>
      <c r="K10">
        <f>AVERAGEIF(raw!$C:$C,$C10,raw!K:K)</f>
        <v>-5.466101850000002</v>
      </c>
      <c r="L10" s="2">
        <f>AVERAGEIF(raw!$C:$C,$C10,raw!L:L)</f>
        <v>0.54736040000000008</v>
      </c>
      <c r="M10" s="2">
        <f>AVERAGEIF(raw!$C:$C,$C10,raw!M:M)</f>
        <v>6.2104999999999994E-4</v>
      </c>
      <c r="N10" s="2">
        <f>AVERAGEIF(raw!$C:$C,$C10,raw!N:N)</f>
        <v>235.89354295000004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raw</vt:lpstr>
      <vt:lpstr>proc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2021-04-28T18:43:12Z</dcterms:modified>
</cp:coreProperties>
</file>